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02. Due\00. Projects\03. Prodactivity\01. Templates\"/>
    </mc:Choice>
  </mc:AlternateContent>
  <xr:revisionPtr revIDLastSave="0" documentId="13_ncr:1_{93909CB6-FEEE-46A2-95FD-BC1057FCCF33}" xr6:coauthVersionLast="47" xr6:coauthVersionMax="47" xr10:uidLastSave="{00000000-0000-0000-0000-000000000000}"/>
  <bookViews>
    <workbookView xWindow="-120" yWindow="-120" windowWidth="29040" windowHeight="17790" activeTab="1" xr2:uid="{00000000-000D-0000-FFFF-FFFF00000000}"/>
  </bookViews>
  <sheets>
    <sheet name="Version History" sheetId="33" r:id="rId1"/>
    <sheet name="Readings" sheetId="22" r:id="rId2"/>
  </sheets>
  <externalReferences>
    <externalReference r:id="rId3"/>
  </externalReferences>
  <definedNames>
    <definedName name="AlphaFirst">Readings!$Y$7</definedName>
    <definedName name="Nbc" hidden="1">[1]Calcs!$BG$19</definedName>
    <definedName name="nBoltsInter" hidden="1">[1]Calcs!$BG$23</definedName>
    <definedName name="Nbr" hidden="1">[1]Calcs!$BG$18</definedName>
    <definedName name="Nrb">Readings!$Y$6</definedName>
    <definedName name="P" hidden="1">[1]Calcs!$AH$53</definedName>
    <definedName name="_xlnm.Print_Area" localSheetId="1">Readings!$A$1:$AJ$53</definedName>
    <definedName name="_xlnm.Print_Area" localSheetId="0">'Version History'!$A$1:$AG$63</definedName>
    <definedName name="RDroopZero">Readings!$Y$9</definedName>
    <definedName name="RngCircumferential">Readings!$D$14:$F$50</definedName>
    <definedName name="RngRadial">Readings!$G$13:$AJ$13</definedName>
    <definedName name="SigmaHBolts" hidden="1">[1]Calcs!$P$60</definedName>
    <definedName name="SigmaHForce" hidden="1">[1]Calcs!$W$60</definedName>
    <definedName name="SigmaVBolts" hidden="1">[1]Calcs!$P$61</definedName>
    <definedName name="SigmaVForce" hidden="1">[1]Calcs!$W$61</definedName>
    <definedName name="TemplateDocApprover" hidden="1">'Version History'!$W$3</definedName>
    <definedName name="TemplateDocChecker" hidden="1">'Version History'!$W$2</definedName>
    <definedName name="TemplateDocClient" hidden="1">'Version History'!$G$4</definedName>
    <definedName name="TemplateDocCurrentDate" hidden="1">'Version History'!$AD$4</definedName>
    <definedName name="TemplateDocCurrentRevision" hidden="1">'Version History'!$AD$3</definedName>
    <definedName name="TemplateDocInitialDate" hidden="1">'Version History'!$Z$4</definedName>
    <definedName name="TemplateDocInitialRevision" hidden="1">'Version History'!$Z$3</definedName>
    <definedName name="TemplateDocNumber" hidden="1">'Version History'!$G$1</definedName>
    <definedName name="TemplateDocOriginator" hidden="1">'Version History'!$W$1</definedName>
    <definedName name="TemplateDocProject" hidden="1">'Version History'!$G$3</definedName>
    <definedName name="TemplateDocTitle" hidden="1">'Version History'!$G$2</definedName>
    <definedName name="TemplateDocVersion" localSheetId="0" hidden="1">'Version History'!$S$4</definedName>
    <definedName name="Theta">Readings!$Y$8</definedName>
    <definedName name="Units" hidden="1">[1]Calcs!$J$6</definedName>
    <definedName name="xCG" hidden="1">[1]Calcs!$L$50</definedName>
    <definedName name="xIC" hidden="1">[1]Calcs!$P$50</definedName>
    <definedName name="xPcg" hidden="1">[1]Calcs!$AE$50</definedName>
    <definedName name="yCG" hidden="1">[1]Calcs!$L$51</definedName>
    <definedName name="yIC" hidden="1">[1]Calcs!$P$51</definedName>
    <definedName name="yPcg" hidden="1">[1]Calcs!$AE$51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51" i="22" l="1"/>
  <c r="AE51" i="22"/>
  <c r="AB51" i="22"/>
  <c r="Y51" i="22"/>
  <c r="V51" i="22"/>
  <c r="S51" i="22"/>
  <c r="P51" i="22"/>
  <c r="M51" i="22"/>
  <c r="J51" i="22"/>
  <c r="AH54" i="22"/>
  <c r="AK53" i="22"/>
  <c r="G13" i="22"/>
  <c r="C15" i="22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D52" i="22" s="1"/>
  <c r="D14" i="22"/>
  <c r="AK14" i="22" s="1"/>
  <c r="Y8" i="22"/>
  <c r="AK54" i="22" l="1"/>
  <c r="AK39" i="22"/>
  <c r="AK46" i="22"/>
  <c r="AK38" i="22"/>
  <c r="AK41" i="22"/>
  <c r="AK48" i="22"/>
  <c r="AK47" i="22"/>
  <c r="AK45" i="22"/>
  <c r="AK17" i="22"/>
  <c r="AK18" i="22" s="1"/>
  <c r="AK19" i="22" s="1"/>
  <c r="AK20" i="22" s="1"/>
  <c r="AK21" i="22" s="1"/>
  <c r="AK22" i="22" s="1"/>
  <c r="AK23" i="22" s="1"/>
  <c r="AK24" i="22" s="1"/>
  <c r="AK25" i="22" s="1"/>
  <c r="AK26" i="22" s="1"/>
  <c r="AK27" i="22" s="1"/>
  <c r="AK28" i="22" s="1"/>
  <c r="AK29" i="22" s="1"/>
  <c r="AK30" i="22" s="1"/>
  <c r="AK31" i="22" s="1"/>
  <c r="AK32" i="22" s="1"/>
  <c r="AK33" i="22" s="1"/>
  <c r="AK34" i="22" s="1"/>
  <c r="AK35" i="22" s="1"/>
  <c r="AK36" i="22" s="1"/>
  <c r="AK37" i="22" s="1"/>
  <c r="AK49" i="22"/>
  <c r="AK40" i="22"/>
  <c r="AK52" i="22"/>
  <c r="AK44" i="22"/>
  <c r="AK16" i="22"/>
  <c r="AK51" i="22"/>
  <c r="AK43" i="22"/>
  <c r="G51" i="22"/>
  <c r="AK50" i="22"/>
  <c r="AK42" i="22"/>
  <c r="G14" i="22"/>
  <c r="D15" i="22"/>
  <c r="AK15" i="22"/>
  <c r="D48" i="22"/>
  <c r="G48" i="22" s="1"/>
  <c r="D40" i="22"/>
  <c r="G40" i="22" s="1"/>
  <c r="D38" i="22"/>
  <c r="G38" i="22" s="1"/>
  <c r="D49" i="22"/>
  <c r="G49" i="22" s="1"/>
  <c r="D47" i="22"/>
  <c r="G47" i="22" s="1"/>
  <c r="D39" i="22"/>
  <c r="G39" i="22" s="1"/>
  <c r="D44" i="22"/>
  <c r="G44" i="22" s="1"/>
  <c r="D45" i="22"/>
  <c r="G45" i="22" s="1"/>
  <c r="D51" i="22"/>
  <c r="D43" i="22"/>
  <c r="G43" i="22" s="1"/>
  <c r="D46" i="22"/>
  <c r="G46" i="22" s="1"/>
  <c r="D50" i="22"/>
  <c r="G50" i="22" s="1"/>
  <c r="D42" i="22"/>
  <c r="G42" i="22" s="1"/>
  <c r="D41" i="22"/>
  <c r="G41" i="22" s="1"/>
  <c r="AF4" i="22"/>
  <c r="T4" i="22"/>
  <c r="D16" i="22" l="1"/>
  <c r="G15" i="22"/>
  <c r="D17" i="22" l="1"/>
  <c r="G16" i="22"/>
  <c r="D18" i="22" l="1"/>
  <c r="G17" i="22"/>
  <c r="D19" i="22" l="1"/>
  <c r="G18" i="22"/>
  <c r="D20" i="22" l="1"/>
  <c r="G19" i="22"/>
  <c r="D21" i="22" l="1"/>
  <c r="G20" i="22"/>
  <c r="D22" i="22" l="1"/>
  <c r="G21" i="22"/>
  <c r="D23" i="22" l="1"/>
  <c r="G22" i="22"/>
  <c r="D24" i="22" l="1"/>
  <c r="G23" i="22"/>
  <c r="D25" i="22" l="1"/>
  <c r="G24" i="22"/>
  <c r="D26" i="22" l="1"/>
  <c r="G25" i="22"/>
  <c r="D27" i="22" l="1"/>
  <c r="G26" i="22"/>
  <c r="D28" i="22" l="1"/>
  <c r="G27" i="22"/>
  <c r="D29" i="22" l="1"/>
  <c r="G28" i="22"/>
  <c r="D30" i="22" l="1"/>
  <c r="G29" i="22"/>
  <c r="D31" i="22" l="1"/>
  <c r="G30" i="22"/>
  <c r="D32" i="22" l="1"/>
  <c r="G31" i="22"/>
  <c r="D33" i="22" l="1"/>
  <c r="G32" i="22"/>
  <c r="D34" i="22" l="1"/>
  <c r="G33" i="22"/>
  <c r="D35" i="22" l="1"/>
  <c r="G34" i="22"/>
  <c r="D36" i="22" l="1"/>
  <c r="G35" i="22"/>
  <c r="D37" i="22" l="1"/>
  <c r="G37" i="22" s="1"/>
  <c r="G36" i="22"/>
</calcChain>
</file>

<file path=xl/sharedStrings.xml><?xml version="1.0" encoding="utf-8"?>
<sst xmlns="http://schemas.openxmlformats.org/spreadsheetml/2006/main" count="78" uniqueCount="42">
  <si>
    <t>:</t>
  </si>
  <si>
    <t>Life Cycle Status</t>
  </si>
  <si>
    <t>Originator</t>
  </si>
  <si>
    <t>Document No.</t>
  </si>
  <si>
    <t>Title</t>
  </si>
  <si>
    <t>Project</t>
  </si>
  <si>
    <t>Client</t>
  </si>
  <si>
    <t>Checker</t>
  </si>
  <si>
    <t>Approver</t>
  </si>
  <si>
    <t>Srinivas</t>
  </si>
  <si>
    <t>Code</t>
  </si>
  <si>
    <t>Revision</t>
  </si>
  <si>
    <t>Date</t>
  </si>
  <si>
    <t>IFU</t>
  </si>
  <si>
    <t>-</t>
  </si>
  <si>
    <t>Version History of the Template</t>
  </si>
  <si>
    <t>A</t>
  </si>
  <si>
    <t>Version History:</t>
  </si>
  <si>
    <t>Version</t>
  </si>
  <si>
    <t>Description of Change</t>
  </si>
  <si>
    <t>Issued Date</t>
  </si>
  <si>
    <t>Remarks</t>
  </si>
  <si>
    <t>First Release</t>
  </si>
  <si>
    <t>Pass: EngPro</t>
  </si>
  <si>
    <t>Actual Droop Readings</t>
  </si>
  <si>
    <t>Number of Radial Segments</t>
  </si>
  <si>
    <r>
      <t>[N</t>
    </r>
    <r>
      <rPr>
        <vertAlign val="subscript"/>
        <sz val="8"/>
        <color theme="1"/>
        <rFont val="Tahoma"/>
        <family val="2"/>
      </rPr>
      <t>rb</t>
    </r>
    <r>
      <rPr>
        <sz val="8"/>
        <color theme="1"/>
        <rFont val="Tahoma"/>
        <family val="2"/>
      </rPr>
      <t>]</t>
    </r>
  </si>
  <si>
    <t>Angle to the Center of First Radial Segment</t>
  </si>
  <si>
    <r>
      <t>[</t>
    </r>
    <r>
      <rPr>
        <sz val="8"/>
        <color theme="1"/>
        <rFont val="Symbol"/>
        <family val="1"/>
        <charset val="2"/>
      </rPr>
      <t>a</t>
    </r>
    <r>
      <rPr>
        <vertAlign val="subscript"/>
        <sz val="8"/>
        <color theme="1"/>
        <rFont val="Tahoma"/>
        <family val="2"/>
      </rPr>
      <t>first</t>
    </r>
    <r>
      <rPr>
        <sz val="8"/>
        <color theme="1"/>
        <rFont val="Tahoma"/>
        <family val="2"/>
      </rPr>
      <t>]</t>
    </r>
  </si>
  <si>
    <t>Angle between Segments</t>
  </si>
  <si>
    <r>
      <t>[</t>
    </r>
    <r>
      <rPr>
        <sz val="8"/>
        <color theme="1"/>
        <rFont val="Symbol"/>
        <family val="1"/>
        <charset val="2"/>
      </rPr>
      <t>q</t>
    </r>
    <r>
      <rPr>
        <sz val="8"/>
        <color theme="1"/>
        <rFont val="Tahoma"/>
        <family val="2"/>
      </rPr>
      <t>]</t>
    </r>
  </si>
  <si>
    <t>Cicumferential Segments</t>
  </si>
  <si>
    <r>
      <t>Angle (</t>
    </r>
    <r>
      <rPr>
        <sz val="8"/>
        <color theme="1"/>
        <rFont val="Aptos"/>
        <family val="2"/>
      </rPr>
      <t>°</t>
    </r>
    <r>
      <rPr>
        <sz val="8"/>
        <color theme="1"/>
        <rFont val="Tahoma"/>
        <family val="2"/>
      </rPr>
      <t>)</t>
    </r>
  </si>
  <si>
    <t>Radius to the Zero Droop Segment</t>
  </si>
  <si>
    <r>
      <t>[R</t>
    </r>
    <r>
      <rPr>
        <vertAlign val="subscript"/>
        <sz val="8"/>
        <color theme="1"/>
        <rFont val="Tahoma"/>
        <family val="2"/>
      </rPr>
      <t>droop0</t>
    </r>
    <r>
      <rPr>
        <sz val="8"/>
        <color theme="1"/>
        <rFont val="Tahoma"/>
        <family val="2"/>
      </rPr>
      <t>]</t>
    </r>
  </si>
  <si>
    <t>Measured At Radius (m)</t>
  </si>
  <si>
    <t>Diameter (m)</t>
  </si>
  <si>
    <r>
      <t>Rad Beam Angle (</t>
    </r>
    <r>
      <rPr>
        <sz val="8"/>
        <color theme="1"/>
        <rFont val="Aptos"/>
        <family val="2"/>
      </rPr>
      <t>°</t>
    </r>
    <r>
      <rPr>
        <sz val="8"/>
        <color theme="1"/>
        <rFont val="Tahoma"/>
        <family val="2"/>
      </rPr>
      <t>)</t>
    </r>
  </si>
  <si>
    <t>Droop Measurements v1.1</t>
  </si>
  <si>
    <r>
      <t>Droop Difference Values</t>
    </r>
    <r>
      <rPr>
        <u/>
        <sz val="8"/>
        <color theme="1"/>
        <rFont val="Tahoma"/>
        <family val="2"/>
      </rPr>
      <t xml:space="preserve"> [Positive Indicates Deficit in Droop and Nagative Indicates Surplus in Droop Compared to Design Droop]</t>
    </r>
  </si>
  <si>
    <t>Data Table Modified</t>
  </si>
  <si>
    <t>Additional Information such as Diameter and Radial Beam Angles are Tabulated. Color Grading is Applied to the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</si>
</sst>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d\-mmm\-yyyy"/>
    <numFmt numFmtId="165" formatCode="0.0"/>
    <numFmt numFmtId="166" formatCode="0.000&quot; m&quot;"/>
    <numFmt numFmtId="167" formatCode="0.000"/>
    <numFmt numFmtId="168" formatCode="0.00&quot;°&quot;"/>
    <numFmt numFmtId="169" formatCode="dd/mmm/yyyy"/>
    <numFmt numFmtId="170" formatCode="0&quot; Nos&quot;"/>
    <numFmt numFmtId="171" formatCode="0.0&quot;°&quot;"/>
  </numFmts>
  <fonts count="16" x14ac:knownFonts="1">
    <font>
      <sz val="10"/>
      <color theme="1"/>
      <name val="Cambri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b/>
      <sz val="8"/>
      <color theme="1"/>
      <name val="Tahoma"/>
      <family val="2"/>
    </font>
    <font>
      <vertAlign val="subscript"/>
      <sz val="8"/>
      <color theme="1"/>
      <name val="Tahoma"/>
      <family val="2"/>
    </font>
    <font>
      <b/>
      <u/>
      <sz val="8"/>
      <color theme="1"/>
      <name val="Tahoma"/>
      <family val="2"/>
    </font>
    <font>
      <sz val="8"/>
      <color theme="3"/>
      <name val="Tahoma"/>
      <family val="2"/>
    </font>
    <font>
      <u/>
      <sz val="8"/>
      <color theme="1"/>
      <name val="Tahoma"/>
      <family val="2"/>
    </font>
    <font>
      <sz val="10"/>
      <color theme="3"/>
      <name val="Cambria"/>
      <family val="2"/>
    </font>
    <font>
      <sz val="8"/>
      <color theme="8" tint="-0.249977111117893"/>
      <name val="Tahoma"/>
      <family val="2"/>
    </font>
    <font>
      <sz val="10"/>
      <color theme="8" tint="-0.249977111117893"/>
      <name val="Cambria"/>
      <family val="2"/>
    </font>
    <font>
      <sz val="12"/>
      <color theme="1"/>
      <name val="Tahoma"/>
      <family val="2"/>
    </font>
    <font>
      <sz val="12"/>
      <color theme="1"/>
      <name val="Cambria"/>
      <family val="2"/>
    </font>
    <font>
      <sz val="8"/>
      <color theme="1"/>
      <name val="Symbol"/>
      <family val="1"/>
      <charset val="2"/>
    </font>
    <font>
      <sz val="8"/>
      <color theme="1"/>
      <name val="Aptos"/>
      <family val="2"/>
    </font>
    <font>
      <b/>
      <sz val="10"/>
      <color theme="1"/>
      <name val="Cambria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599963377788628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E0A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71">
    <xf numFmtId="0" fontId="0" fillId="0" borderId="0" xfId="0"/>
    <xf numFmtId="0" fontId="3" fillId="0" borderId="6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vertical="center"/>
      <protection hidden="1"/>
    </xf>
    <xf numFmtId="2" fontId="2" fillId="0" borderId="0" xfId="0" applyNumberFormat="1" applyFont="1" applyFill="1" applyBorder="1" applyAlignment="1" applyProtection="1">
      <alignment vertical="center"/>
      <protection hidden="1"/>
    </xf>
    <xf numFmtId="0" fontId="2" fillId="0" borderId="0" xfId="0" applyNumberFormat="1" applyFont="1" applyFill="1" applyBorder="1" applyAlignment="1" applyProtection="1">
      <alignment vertical="center"/>
      <protection hidden="1"/>
    </xf>
    <xf numFmtId="0" fontId="2" fillId="0" borderId="2" xfId="0" applyFont="1" applyBorder="1" applyAlignment="1" applyProtection="1">
      <alignment vertical="center"/>
      <protection hidden="1"/>
    </xf>
    <xf numFmtId="0" fontId="2" fillId="0" borderId="3" xfId="0" applyFont="1" applyBorder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2" fontId="2" fillId="0" borderId="0" xfId="0" applyNumberFormat="1" applyFont="1" applyAlignment="1" applyProtection="1">
      <alignment vertical="center"/>
      <protection hidden="1"/>
    </xf>
    <xf numFmtId="0" fontId="2" fillId="0" borderId="0" xfId="0" applyFont="1" applyAlignment="1">
      <alignment vertical="center"/>
    </xf>
    <xf numFmtId="0" fontId="2" fillId="0" borderId="5" xfId="0" applyFont="1" applyBorder="1" applyAlignment="1" applyProtection="1">
      <alignment vertical="center"/>
      <protection hidden="1"/>
    </xf>
    <xf numFmtId="164" fontId="2" fillId="0" borderId="6" xfId="0" applyNumberFormat="1" applyFont="1" applyFill="1" applyBorder="1" applyAlignment="1" applyProtection="1">
      <alignment vertical="center"/>
      <protection hidden="1"/>
    </xf>
    <xf numFmtId="164" fontId="2" fillId="0" borderId="7" xfId="0" applyNumberFormat="1" applyFont="1" applyFill="1" applyBorder="1" applyAlignment="1" applyProtection="1">
      <alignment vertical="center"/>
      <protection hidden="1"/>
    </xf>
    <xf numFmtId="0" fontId="2" fillId="0" borderId="8" xfId="0" applyFont="1" applyBorder="1" applyAlignment="1" applyProtection="1">
      <alignment vertical="center"/>
      <protection hidden="1"/>
    </xf>
    <xf numFmtId="164" fontId="2" fillId="0" borderId="0" xfId="0" applyNumberFormat="1" applyFont="1" applyFill="1" applyBorder="1" applyAlignment="1" applyProtection="1">
      <alignment vertical="center"/>
      <protection hidden="1"/>
    </xf>
    <xf numFmtId="164" fontId="2" fillId="0" borderId="9" xfId="0" applyNumberFormat="1" applyFont="1" applyFill="1" applyBorder="1" applyAlignment="1" applyProtection="1">
      <alignment vertical="center"/>
      <protection hidden="1"/>
    </xf>
    <xf numFmtId="0" fontId="2" fillId="0" borderId="9" xfId="0" applyNumberFormat="1" applyFont="1" applyFill="1" applyBorder="1" applyAlignment="1" applyProtection="1">
      <alignment vertical="center"/>
      <protection hidden="1"/>
    </xf>
    <xf numFmtId="0" fontId="2" fillId="0" borderId="6" xfId="0" applyNumberFormat="1" applyFont="1" applyFill="1" applyBorder="1" applyAlignment="1" applyProtection="1">
      <alignment vertical="center"/>
      <protection hidden="1"/>
    </xf>
    <xf numFmtId="0" fontId="2" fillId="0" borderId="7" xfId="0" applyNumberFormat="1" applyFont="1" applyFill="1" applyBorder="1" applyAlignment="1" applyProtection="1">
      <alignment vertical="center"/>
      <protection hidden="1"/>
    </xf>
    <xf numFmtId="0" fontId="2" fillId="0" borderId="0" xfId="0" applyFont="1" applyBorder="1" applyAlignment="1" applyProtection="1">
      <alignment vertical="center"/>
      <protection hidden="1"/>
    </xf>
    <xf numFmtId="0" fontId="2" fillId="0" borderId="10" xfId="0" applyFont="1" applyBorder="1" applyAlignment="1" applyProtection="1">
      <alignment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164" fontId="2" fillId="0" borderId="0" xfId="0" applyNumberFormat="1" applyFont="1" applyBorder="1" applyAlignment="1" applyProtection="1">
      <alignment vertical="center"/>
      <protection hidden="1"/>
    </xf>
    <xf numFmtId="0" fontId="2" fillId="0" borderId="5" xfId="0" applyNumberFormat="1" applyFont="1" applyFill="1" applyBorder="1" applyAlignment="1" applyProtection="1">
      <alignment vertical="center"/>
      <protection hidden="1"/>
    </xf>
    <xf numFmtId="0" fontId="2" fillId="0" borderId="8" xfId="0" applyNumberFormat="1" applyFont="1" applyFill="1" applyBorder="1" applyAlignment="1" applyProtection="1">
      <alignment vertical="center"/>
      <protection hidden="1"/>
    </xf>
    <xf numFmtId="0" fontId="7" fillId="0" borderId="0" xfId="0" applyFont="1" applyAlignment="1" applyProtection="1">
      <alignment vertical="center"/>
      <protection hidden="1"/>
    </xf>
    <xf numFmtId="0" fontId="0" fillId="0" borderId="0" xfId="0" applyNumberFormat="1" applyFill="1" applyBorder="1" applyAlignment="1" applyProtection="1">
      <alignment vertical="center"/>
      <protection hidden="1"/>
    </xf>
    <xf numFmtId="0" fontId="7" fillId="0" borderId="0" xfId="0" applyNumberFormat="1" applyFont="1" applyFill="1" applyBorder="1" applyAlignment="1" applyProtection="1">
      <alignment vertical="center"/>
      <protection hidden="1"/>
    </xf>
    <xf numFmtId="0" fontId="2" fillId="0" borderId="0" xfId="0" quotePrefix="1" applyNumberFormat="1" applyFont="1" applyFill="1" applyBorder="1" applyAlignment="1" applyProtection="1">
      <alignment vertical="center"/>
      <protection hidden="1"/>
    </xf>
    <xf numFmtId="0" fontId="6" fillId="0" borderId="0" xfId="0" applyNumberFormat="1" applyFont="1" applyFill="1" applyBorder="1" applyAlignment="1" applyProtection="1">
      <alignment vertical="center"/>
      <protection locked="0" hidden="1"/>
    </xf>
    <xf numFmtId="0" fontId="8" fillId="0" borderId="0" xfId="0" applyNumberFormat="1" applyFont="1" applyFill="1" applyBorder="1" applyAlignment="1" applyProtection="1">
      <alignment vertical="center"/>
      <protection locked="0"/>
    </xf>
    <xf numFmtId="0" fontId="9" fillId="0" borderId="0" xfId="0" applyNumberFormat="1" applyFont="1" applyFill="1" applyBorder="1" applyAlignment="1" applyProtection="1">
      <alignment vertical="center"/>
      <protection locked="0" hidden="1"/>
    </xf>
    <xf numFmtId="0" fontId="10" fillId="0" borderId="0" xfId="0" applyNumberFormat="1" applyFont="1" applyFill="1" applyBorder="1" applyAlignment="1" applyProtection="1">
      <alignment vertical="center"/>
      <protection locked="0"/>
    </xf>
    <xf numFmtId="0" fontId="2" fillId="0" borderId="0" xfId="0" applyNumberFormat="1" applyFont="1" applyFill="1" applyBorder="1" applyAlignment="1" applyProtection="1">
      <alignment vertical="center"/>
      <protection locked="0" hidden="1"/>
    </xf>
    <xf numFmtId="0" fontId="0" fillId="0" borderId="0" xfId="0" applyNumberFormat="1" applyFill="1" applyBorder="1" applyAlignment="1" applyProtection="1">
      <alignment vertical="center"/>
      <protection locked="0"/>
    </xf>
    <xf numFmtId="0" fontId="11" fillId="0" borderId="8" xfId="0" applyNumberFormat="1" applyFont="1" applyFill="1" applyBorder="1" applyAlignment="1" applyProtection="1">
      <alignment vertical="center"/>
      <protection hidden="1"/>
    </xf>
    <xf numFmtId="0" fontId="12" fillId="0" borderId="0" xfId="0" applyNumberFormat="1" applyFont="1" applyFill="1" applyBorder="1" applyAlignment="1" applyProtection="1">
      <alignment vertical="center"/>
      <protection hidden="1"/>
    </xf>
    <xf numFmtId="0" fontId="12" fillId="0" borderId="9" xfId="0" applyNumberFormat="1" applyFont="1" applyFill="1" applyBorder="1" applyAlignment="1" applyProtection="1">
      <alignment vertical="center"/>
      <protection hidden="1"/>
    </xf>
    <xf numFmtId="0" fontId="12" fillId="0" borderId="8" xfId="0" applyNumberFormat="1" applyFont="1" applyFill="1" applyBorder="1" applyAlignment="1" applyProtection="1">
      <alignment vertical="center"/>
      <protection hidden="1"/>
    </xf>
    <xf numFmtId="0" fontId="5" fillId="0" borderId="0" xfId="0" applyNumberFormat="1" applyFont="1" applyFill="1" applyBorder="1" applyAlignment="1" applyProtection="1">
      <alignment vertical="center"/>
      <protection hidden="1"/>
    </xf>
    <xf numFmtId="0" fontId="0" fillId="0" borderId="9" xfId="0" applyNumberFormat="1" applyFill="1" applyBorder="1" applyAlignment="1" applyProtection="1">
      <alignment vertical="center"/>
      <protection hidden="1"/>
    </xf>
    <xf numFmtId="2" fontId="2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 applyProtection="1">
      <alignment vertical="center"/>
      <protection hidden="1"/>
    </xf>
    <xf numFmtId="0" fontId="5" fillId="0" borderId="0" xfId="0" applyFont="1" applyBorder="1" applyAlignment="1">
      <alignment vertical="center"/>
    </xf>
    <xf numFmtId="0" fontId="2" fillId="0" borderId="11" xfId="0" applyFont="1" applyFill="1" applyBorder="1" applyAlignment="1" applyProtection="1">
      <alignment vertic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right" vertical="center"/>
      <protection hidden="1"/>
    </xf>
    <xf numFmtId="0" fontId="2" fillId="0" borderId="12" xfId="0" applyFont="1" applyBorder="1" applyAlignment="1" applyProtection="1">
      <alignment vertical="center"/>
      <protection hidden="1"/>
    </xf>
    <xf numFmtId="0" fontId="2" fillId="0" borderId="11" xfId="0" applyFont="1" applyBorder="1" applyAlignment="1" applyProtection="1">
      <alignment vertical="center"/>
      <protection hidden="1"/>
    </xf>
    <xf numFmtId="0" fontId="2" fillId="0" borderId="11" xfId="0" applyFont="1" applyFill="1" applyBorder="1" applyAlignment="1" applyProtection="1">
      <alignment horizontal="center" vertical="center"/>
      <protection hidden="1"/>
    </xf>
    <xf numFmtId="0" fontId="2" fillId="0" borderId="11" xfId="0" applyFont="1" applyBorder="1" applyAlignment="1">
      <alignment horizontal="center" vertical="center"/>
    </xf>
    <xf numFmtId="0" fontId="1" fillId="0" borderId="0" xfId="0" applyFont="1" applyBorder="1" applyAlignment="1" applyProtection="1">
      <alignment vertical="center"/>
      <protection hidden="1"/>
    </xf>
    <xf numFmtId="0" fontId="2" fillId="0" borderId="17" xfId="0" applyFont="1" applyBorder="1" applyAlignment="1" applyProtection="1">
      <alignment vertical="center"/>
      <protection hidden="1"/>
    </xf>
    <xf numFmtId="0" fontId="2" fillId="0" borderId="16" xfId="0" applyFont="1" applyBorder="1" applyAlignment="1" applyProtection="1">
      <alignment vertical="center"/>
      <protection hidden="1"/>
    </xf>
    <xf numFmtId="0" fontId="1" fillId="0" borderId="18" xfId="0" applyFont="1" applyBorder="1" applyAlignment="1" applyProtection="1">
      <alignment vertical="center"/>
      <protection hidden="1"/>
    </xf>
    <xf numFmtId="166" fontId="2" fillId="0" borderId="0" xfId="0" applyNumberFormat="1" applyFont="1" applyFill="1" applyBorder="1" applyAlignment="1" applyProtection="1">
      <alignment vertical="center"/>
      <protection hidden="1"/>
    </xf>
    <xf numFmtId="1" fontId="2" fillId="0" borderId="0" xfId="0" applyNumberFormat="1" applyFont="1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168" fontId="2" fillId="0" borderId="0" xfId="0" applyNumberFormat="1" applyFont="1" applyFill="1" applyBorder="1" applyAlignment="1" applyProtection="1">
      <alignment vertical="center"/>
      <protection hidden="1"/>
    </xf>
    <xf numFmtId="166" fontId="2" fillId="0" borderId="0" xfId="0" applyNumberFormat="1" applyFont="1" applyFill="1" applyBorder="1" applyAlignment="1" applyProtection="1">
      <alignment horizontal="right" vertical="center" indent="1"/>
      <protection locked="0"/>
    </xf>
    <xf numFmtId="1" fontId="2" fillId="0" borderId="1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vertical="center"/>
      <protection hidden="1"/>
    </xf>
    <xf numFmtId="167" fontId="1" fillId="0" borderId="0" xfId="0" applyNumberFormat="1" applyFont="1" applyFill="1" applyBorder="1" applyAlignment="1" applyProtection="1">
      <alignment vertical="center"/>
      <protection hidden="1"/>
    </xf>
    <xf numFmtId="0" fontId="2" fillId="0" borderId="3" xfId="0" applyFont="1" applyBorder="1" applyAlignment="1" applyProtection="1">
      <alignment vertical="center"/>
      <protection hidden="1"/>
    </xf>
    <xf numFmtId="0" fontId="2" fillId="0" borderId="4" xfId="0" applyFont="1" applyBorder="1" applyAlignment="1" applyProtection="1">
      <alignment vertical="center"/>
      <protection hidden="1"/>
    </xf>
    <xf numFmtId="0" fontId="2" fillId="0" borderId="2" xfId="0" applyFont="1" applyBorder="1" applyAlignment="1" applyProtection="1">
      <alignment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4" xfId="0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6" fillId="4" borderId="2" xfId="0" applyFont="1" applyFill="1" applyBorder="1" applyAlignment="1" applyProtection="1">
      <alignment horizontal="left" vertical="center" indent="1"/>
      <protection hidden="1"/>
    </xf>
    <xf numFmtId="0" fontId="8" fillId="4" borderId="3" xfId="0" applyFont="1" applyFill="1" applyBorder="1" applyAlignment="1" applyProtection="1">
      <alignment horizontal="left" vertical="center" indent="1"/>
      <protection hidden="1"/>
    </xf>
    <xf numFmtId="0" fontId="8" fillId="4" borderId="4" xfId="0" applyFont="1" applyFill="1" applyBorder="1" applyAlignment="1" applyProtection="1">
      <alignment horizontal="left" vertical="center" indent="1"/>
      <protection hidden="1"/>
    </xf>
    <xf numFmtId="0" fontId="9" fillId="4" borderId="2" xfId="0" applyFont="1" applyFill="1" applyBorder="1" applyAlignment="1" applyProtection="1">
      <alignment horizontal="left" vertical="center" indent="1"/>
      <protection hidden="1"/>
    </xf>
    <xf numFmtId="0" fontId="0" fillId="0" borderId="3" xfId="0" applyBorder="1" applyAlignment="1" applyProtection="1">
      <alignment horizontal="left" vertical="center" indent="1"/>
      <protection hidden="1"/>
    </xf>
    <xf numFmtId="0" fontId="0" fillId="0" borderId="4" xfId="0" applyBorder="1" applyAlignment="1" applyProtection="1">
      <alignment horizontal="left" vertical="center" indent="1"/>
      <protection hidden="1"/>
    </xf>
    <xf numFmtId="0" fontId="0" fillId="4" borderId="3" xfId="0" applyFill="1" applyBorder="1" applyAlignment="1" applyProtection="1">
      <alignment horizontal="left" vertical="center" indent="1"/>
      <protection hidden="1"/>
    </xf>
    <xf numFmtId="0" fontId="2" fillId="0" borderId="1" xfId="0" applyFont="1" applyBorder="1" applyAlignment="1" applyProtection="1">
      <alignment horizontal="left" vertical="center" indent="1"/>
      <protection hidden="1"/>
    </xf>
    <xf numFmtId="0" fontId="6" fillId="0" borderId="3" xfId="0" applyFont="1" applyBorder="1" applyAlignment="1" applyProtection="1">
      <alignment vertical="center"/>
      <protection hidden="1"/>
    </xf>
    <xf numFmtId="0" fontId="6" fillId="0" borderId="4" xfId="0" applyFont="1" applyBorder="1" applyAlignment="1" applyProtection="1">
      <alignment vertical="center"/>
      <protection hidden="1"/>
    </xf>
    <xf numFmtId="0" fontId="1" fillId="3" borderId="2" xfId="0" applyFont="1" applyFill="1" applyBorder="1" applyAlignment="1" applyProtection="1">
      <alignment horizontal="center" vertical="center"/>
      <protection hidden="1"/>
    </xf>
    <xf numFmtId="0" fontId="2" fillId="3" borderId="3" xfId="0" applyFont="1" applyFill="1" applyBorder="1" applyAlignment="1" applyProtection="1">
      <alignment horizontal="center" vertical="center"/>
      <protection hidden="1"/>
    </xf>
    <xf numFmtId="0" fontId="2" fillId="3" borderId="4" xfId="0" applyFont="1" applyFill="1" applyBorder="1" applyAlignment="1" applyProtection="1">
      <alignment horizontal="center" vertical="center"/>
      <protection hidden="1"/>
    </xf>
    <xf numFmtId="164" fontId="2" fillId="0" borderId="1" xfId="0" applyNumberFormat="1" applyFont="1" applyBorder="1" applyAlignment="1" applyProtection="1">
      <alignment horizontal="left" vertical="center" indent="1"/>
      <protection hidden="1"/>
    </xf>
    <xf numFmtId="164" fontId="2" fillId="0" borderId="1" xfId="0" applyNumberFormat="1" applyFont="1" applyBorder="1" applyAlignment="1" applyProtection="1">
      <alignment horizontal="center" vertical="center"/>
      <protection hidden="1"/>
    </xf>
    <xf numFmtId="165" fontId="6" fillId="0" borderId="2" xfId="0" applyNumberFormat="1" applyFont="1" applyBorder="1" applyAlignment="1" applyProtection="1">
      <alignment horizontal="left" vertical="center" indent="1"/>
      <protection hidden="1"/>
    </xf>
    <xf numFmtId="165" fontId="8" fillId="0" borderId="3" xfId="0" applyNumberFormat="1" applyFont="1" applyBorder="1" applyAlignment="1" applyProtection="1">
      <alignment horizontal="left" vertical="center" indent="1"/>
      <protection hidden="1"/>
    </xf>
    <xf numFmtId="165" fontId="8" fillId="0" borderId="4" xfId="0" applyNumberFormat="1" applyFont="1" applyBorder="1" applyAlignment="1" applyProtection="1">
      <alignment horizontal="left" vertical="center" indent="1"/>
      <protection hidden="1"/>
    </xf>
    <xf numFmtId="0" fontId="9" fillId="0" borderId="2" xfId="0" applyFont="1" applyBorder="1" applyAlignment="1" applyProtection="1">
      <alignment horizontal="left" vertical="center" indent="1"/>
      <protection hidden="1"/>
    </xf>
    <xf numFmtId="169" fontId="6" fillId="0" borderId="2" xfId="0" applyNumberFormat="1" applyFont="1" applyBorder="1" applyAlignment="1" applyProtection="1">
      <alignment horizontal="left" vertical="center" indent="1"/>
      <protection hidden="1"/>
    </xf>
    <xf numFmtId="169" fontId="8" fillId="0" borderId="3" xfId="0" applyNumberFormat="1" applyFont="1" applyBorder="1" applyAlignment="1" applyProtection="1">
      <alignment horizontal="left" vertical="center" indent="1"/>
      <protection hidden="1"/>
    </xf>
    <xf numFmtId="169" fontId="8" fillId="0" borderId="4" xfId="0" applyNumberFormat="1" applyFont="1" applyBorder="1" applyAlignment="1" applyProtection="1">
      <alignment horizontal="left" vertical="center" indent="1"/>
      <protection hidden="1"/>
    </xf>
    <xf numFmtId="165" fontId="6" fillId="0" borderId="13" xfId="0" applyNumberFormat="1" applyFont="1" applyBorder="1" applyAlignment="1" applyProtection="1">
      <alignment horizontal="left" vertical="center" wrapText="1" indent="1"/>
      <protection hidden="1"/>
    </xf>
    <xf numFmtId="165" fontId="8" fillId="0" borderId="13" xfId="0" applyNumberFormat="1" applyFont="1" applyBorder="1" applyAlignment="1" applyProtection="1">
      <alignment horizontal="left" vertical="center" wrapText="1" indent="1"/>
      <protection hidden="1"/>
    </xf>
    <xf numFmtId="0" fontId="0" fillId="0" borderId="14" xfId="0" applyBorder="1" applyAlignment="1">
      <alignment horizontal="left" vertical="center" wrapText="1" indent="1"/>
    </xf>
    <xf numFmtId="0" fontId="9" fillId="0" borderId="13" xfId="0" applyFont="1" applyBorder="1" applyAlignment="1" applyProtection="1">
      <alignment horizontal="left" vertical="center" wrapText="1" indent="1"/>
      <protection hidden="1"/>
    </xf>
    <xf numFmtId="0" fontId="0" fillId="0" borderId="13" xfId="0" applyBorder="1" applyAlignment="1" applyProtection="1">
      <alignment horizontal="left" vertical="center" wrapText="1" indent="1"/>
      <protection hidden="1"/>
    </xf>
    <xf numFmtId="169" fontId="6" fillId="0" borderId="13" xfId="0" applyNumberFormat="1" applyFont="1" applyBorder="1" applyAlignment="1" applyProtection="1">
      <alignment horizontal="left" vertical="center" wrapText="1" indent="1"/>
      <protection hidden="1"/>
    </xf>
    <xf numFmtId="169" fontId="8" fillId="0" borderId="13" xfId="0" applyNumberFormat="1" applyFont="1" applyBorder="1" applyAlignment="1" applyProtection="1">
      <alignment horizontal="left" vertical="center" wrapText="1" indent="1"/>
      <protection hidden="1"/>
    </xf>
    <xf numFmtId="165" fontId="6" fillId="0" borderId="15" xfId="0" applyNumberFormat="1" applyFont="1" applyBorder="1" applyAlignment="1" applyProtection="1">
      <alignment horizontal="left" vertical="center" wrapText="1" indent="1"/>
      <protection hidden="1"/>
    </xf>
    <xf numFmtId="165" fontId="8" fillId="0" borderId="15" xfId="0" applyNumberFormat="1" applyFont="1" applyBorder="1" applyAlignment="1" applyProtection="1">
      <alignment horizontal="left" vertical="center" wrapText="1" indent="1"/>
      <protection hidden="1"/>
    </xf>
    <xf numFmtId="0" fontId="9" fillId="0" borderId="15" xfId="0" applyFont="1" applyBorder="1" applyAlignment="1" applyProtection="1">
      <alignment horizontal="left" vertical="center" wrapText="1" indent="1"/>
      <protection hidden="1"/>
    </xf>
    <xf numFmtId="0" fontId="0" fillId="0" borderId="15" xfId="0" applyBorder="1" applyAlignment="1" applyProtection="1">
      <alignment horizontal="left" vertical="center" wrapText="1" indent="1"/>
      <protection hidden="1"/>
    </xf>
    <xf numFmtId="169" fontId="6" fillId="0" borderId="15" xfId="0" applyNumberFormat="1" applyFont="1" applyBorder="1" applyAlignment="1" applyProtection="1">
      <alignment horizontal="left" vertical="center" wrapText="1" indent="1"/>
      <protection hidden="1"/>
    </xf>
    <xf numFmtId="169" fontId="8" fillId="0" borderId="15" xfId="0" applyNumberFormat="1" applyFont="1" applyBorder="1" applyAlignment="1" applyProtection="1">
      <alignment horizontal="left" vertical="center" wrapText="1" indent="1"/>
      <protection hidden="1"/>
    </xf>
    <xf numFmtId="165" fontId="6" fillId="0" borderId="13" xfId="0" applyNumberFormat="1" applyFont="1" applyBorder="1" applyAlignment="1" applyProtection="1">
      <alignment horizontal="left" vertical="center" indent="1"/>
      <protection hidden="1"/>
    </xf>
    <xf numFmtId="165" fontId="8" fillId="0" borderId="13" xfId="0" applyNumberFormat="1" applyFont="1" applyBorder="1" applyAlignment="1" applyProtection="1">
      <alignment horizontal="left" vertical="center" indent="1"/>
      <protection hidden="1"/>
    </xf>
    <xf numFmtId="0" fontId="0" fillId="0" borderId="15" xfId="0" applyBorder="1" applyAlignment="1">
      <alignment horizontal="left" vertical="center" indent="1"/>
    </xf>
    <xf numFmtId="0" fontId="0" fillId="0" borderId="14" xfId="0" applyBorder="1" applyAlignment="1">
      <alignment horizontal="left" vertical="center" indent="1"/>
    </xf>
    <xf numFmtId="0" fontId="9" fillId="0" borderId="13" xfId="0" applyFont="1" applyBorder="1" applyAlignment="1" applyProtection="1">
      <alignment horizontal="left" vertical="center" indent="1"/>
      <protection hidden="1"/>
    </xf>
    <xf numFmtId="0" fontId="0" fillId="0" borderId="13" xfId="0" applyBorder="1" applyAlignment="1" applyProtection="1">
      <alignment horizontal="left" vertical="center" indent="1"/>
      <protection hidden="1"/>
    </xf>
    <xf numFmtId="169" fontId="6" fillId="0" borderId="13" xfId="0" applyNumberFormat="1" applyFont="1" applyBorder="1" applyAlignment="1" applyProtection="1">
      <alignment horizontal="left" vertical="center" indent="1"/>
      <protection hidden="1"/>
    </xf>
    <xf numFmtId="169" fontId="8" fillId="0" borderId="13" xfId="0" applyNumberFormat="1" applyFont="1" applyBorder="1" applyAlignment="1" applyProtection="1">
      <alignment horizontal="left" vertical="center" indent="1"/>
      <protection hidden="1"/>
    </xf>
    <xf numFmtId="0" fontId="0" fillId="0" borderId="15" xfId="0" applyBorder="1" applyAlignment="1">
      <alignment horizontal="left" vertical="center" wrapText="1" indent="1"/>
    </xf>
    <xf numFmtId="0" fontId="2" fillId="5" borderId="2" xfId="0" applyNumberFormat="1" applyFont="1" applyFill="1" applyBorder="1" applyAlignment="1" applyProtection="1">
      <alignment horizontal="center" vertical="center"/>
      <protection hidden="1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center" vertical="center" wrapText="1"/>
      <protection hidden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/>
      <protection hidden="1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165" fontId="2" fillId="0" borderId="2" xfId="0" applyNumberFormat="1" applyFont="1" applyFill="1" applyBorder="1" applyAlignment="1" applyProtection="1">
      <alignment horizontal="center" vertical="center"/>
      <protection hidden="1"/>
    </xf>
    <xf numFmtId="165" fontId="0" fillId="0" borderId="3" xfId="0" applyNumberFormat="1" applyFill="1" applyBorder="1" applyAlignment="1" applyProtection="1">
      <alignment horizontal="center" vertical="center"/>
      <protection hidden="1"/>
    </xf>
    <xf numFmtId="165" fontId="0" fillId="0" borderId="4" xfId="0" applyNumberFormat="1" applyFill="1" applyBorder="1" applyAlignment="1" applyProtection="1">
      <alignment horizontal="center" vertical="center"/>
      <protection hidden="1"/>
    </xf>
    <xf numFmtId="165" fontId="2" fillId="6" borderId="2" xfId="0" applyNumberFormat="1" applyFont="1" applyFill="1" applyBorder="1" applyAlignment="1" applyProtection="1">
      <alignment horizontal="center" vertical="center"/>
      <protection locked="0"/>
    </xf>
    <xf numFmtId="165" fontId="0" fillId="6" borderId="3" xfId="0" applyNumberFormat="1" applyFill="1" applyBorder="1" applyAlignment="1" applyProtection="1">
      <alignment horizontal="center" vertical="center"/>
      <protection locked="0"/>
    </xf>
    <xf numFmtId="165" fontId="0" fillId="6" borderId="4" xfId="0" applyNumberFormat="1" applyFill="1" applyBorder="1" applyAlignment="1" applyProtection="1">
      <alignment horizontal="center" vertical="center"/>
      <protection locked="0"/>
    </xf>
    <xf numFmtId="167" fontId="2" fillId="0" borderId="2" xfId="0" applyNumberFormat="1" applyFont="1" applyFill="1" applyBorder="1" applyAlignment="1" applyProtection="1">
      <alignment horizontal="center" vertical="center"/>
      <protection hidden="1"/>
    </xf>
    <xf numFmtId="167" fontId="0" fillId="0" borderId="3" xfId="0" applyNumberFormat="1" applyFill="1" applyBorder="1" applyAlignment="1" applyProtection="1">
      <alignment horizontal="center" vertical="center"/>
      <protection hidden="1"/>
    </xf>
    <xf numFmtId="167" fontId="0" fillId="0" borderId="4" xfId="0" applyNumberFormat="1" applyFill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left" vertical="center" indent="1"/>
      <protection locked="0" hidden="1"/>
    </xf>
    <xf numFmtId="0" fontId="2" fillId="0" borderId="1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left" vertical="center" indent="1"/>
      <protection hidden="1"/>
    </xf>
    <xf numFmtId="0" fontId="2" fillId="0" borderId="3" xfId="0" applyFont="1" applyBorder="1" applyAlignment="1" applyProtection="1">
      <alignment horizontal="left" vertical="center" indent="1"/>
      <protection hidden="1"/>
    </xf>
    <xf numFmtId="0" fontId="2" fillId="0" borderId="3" xfId="0" applyFon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167" fontId="1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66" fontId="2" fillId="6" borderId="2" xfId="0" applyNumberFormat="1" applyFont="1" applyFill="1" applyBorder="1" applyAlignment="1" applyProtection="1">
      <alignment horizontal="right" vertical="center" indent="1"/>
      <protection locked="0"/>
    </xf>
    <xf numFmtId="166" fontId="2" fillId="6" borderId="3" xfId="0" applyNumberFormat="1" applyFont="1" applyFill="1" applyBorder="1" applyAlignment="1" applyProtection="1">
      <alignment horizontal="right" vertical="center" indent="1"/>
      <protection locked="0"/>
    </xf>
    <xf numFmtId="166" fontId="2" fillId="6" borderId="4" xfId="0" applyNumberFormat="1" applyFont="1" applyFill="1" applyBorder="1" applyAlignment="1" applyProtection="1">
      <alignment horizontal="right" vertical="center" indent="1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0" fontId="2" fillId="2" borderId="3" xfId="0" applyFont="1" applyFill="1" applyBorder="1" applyAlignment="1" applyProtection="1">
      <alignment horizontal="center" vertical="center" wrapText="1"/>
      <protection hidden="1"/>
    </xf>
    <xf numFmtId="0" fontId="0" fillId="2" borderId="4" xfId="0" applyFill="1" applyBorder="1" applyAlignment="1" applyProtection="1">
      <alignment horizontal="center" vertical="center" wrapText="1"/>
      <protection hidden="1"/>
    </xf>
    <xf numFmtId="170" fontId="2" fillId="6" borderId="2" xfId="0" applyNumberFormat="1" applyFont="1" applyFill="1" applyBorder="1" applyAlignment="1" applyProtection="1">
      <alignment horizontal="right" vertical="center" indent="1"/>
      <protection locked="0"/>
    </xf>
    <xf numFmtId="170" fontId="2" fillId="6" borderId="3" xfId="0" applyNumberFormat="1" applyFont="1" applyFill="1" applyBorder="1" applyAlignment="1" applyProtection="1">
      <alignment horizontal="right" vertical="center" indent="1"/>
      <protection locked="0"/>
    </xf>
    <xf numFmtId="170" fontId="2" fillId="6" borderId="4" xfId="0" applyNumberFormat="1" applyFont="1" applyFill="1" applyBorder="1" applyAlignment="1" applyProtection="1">
      <alignment horizontal="right" vertical="center" indent="1"/>
      <protection locked="0"/>
    </xf>
    <xf numFmtId="171" fontId="2" fillId="6" borderId="2" xfId="0" applyNumberFormat="1" applyFont="1" applyFill="1" applyBorder="1" applyAlignment="1" applyProtection="1">
      <alignment horizontal="right" vertical="center" indent="1"/>
      <protection locked="0"/>
    </xf>
    <xf numFmtId="171" fontId="2" fillId="6" borderId="3" xfId="0" applyNumberFormat="1" applyFont="1" applyFill="1" applyBorder="1" applyAlignment="1" applyProtection="1">
      <alignment horizontal="right" vertical="center" indent="1"/>
      <protection locked="0"/>
    </xf>
    <xf numFmtId="171" fontId="2" fillId="6" borderId="4" xfId="0" applyNumberFormat="1" applyFont="1" applyFill="1" applyBorder="1" applyAlignment="1" applyProtection="1">
      <alignment horizontal="right" vertical="center" indent="1"/>
      <protection locked="0"/>
    </xf>
    <xf numFmtId="171" fontId="2" fillId="0" borderId="2" xfId="0" applyNumberFormat="1" applyFont="1" applyFill="1" applyBorder="1" applyAlignment="1" applyProtection="1">
      <alignment horizontal="right" vertical="center" indent="1"/>
      <protection hidden="1"/>
    </xf>
    <xf numFmtId="171" fontId="2" fillId="0" borderId="3" xfId="0" applyNumberFormat="1" applyFont="1" applyFill="1" applyBorder="1" applyAlignment="1" applyProtection="1">
      <alignment horizontal="right" vertical="center" indent="1"/>
      <protection hidden="1"/>
    </xf>
    <xf numFmtId="171" fontId="2" fillId="0" borderId="4" xfId="0" applyNumberFormat="1" applyFont="1" applyFill="1" applyBorder="1" applyAlignment="1" applyProtection="1">
      <alignment horizontal="right" vertical="center" indent="1"/>
      <protection hidden="1"/>
    </xf>
    <xf numFmtId="0" fontId="3" fillId="0" borderId="13" xfId="0" applyFont="1" applyBorder="1" applyAlignment="1" applyProtection="1">
      <alignment horizontal="center" vertical="center" textRotation="90"/>
      <protection hidden="1"/>
    </xf>
    <xf numFmtId="0" fontId="15" fillId="0" borderId="15" xfId="0" applyFont="1" applyBorder="1" applyAlignment="1" applyProtection="1">
      <alignment horizontal="center" vertical="center" textRotation="90"/>
      <protection hidden="1"/>
    </xf>
    <xf numFmtId="0" fontId="15" fillId="0" borderId="14" xfId="0" applyFont="1" applyBorder="1" applyAlignment="1" applyProtection="1">
      <alignment horizontal="center" vertical="center" textRotation="90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7" fontId="1" fillId="0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1" xfId="0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FF4E4"/>
      <color rgb="FFDFE6CC"/>
      <color rgb="FFFFA3A3"/>
      <color rgb="FFFF7575"/>
      <color rgb="FFFCE0C8"/>
      <color rgb="FFE3E9D3"/>
      <color rgb="FFFAFBF7"/>
      <color rgb="FFFFE0A3"/>
      <color rgb="FFFFF0D1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sanams\Desktop\ELBG%20(IC%20Method)%20v1.4_Work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sion History"/>
      <sheetName val="Calcs"/>
      <sheetName val="Notes"/>
      <sheetName val="Backup"/>
    </sheetNames>
    <sheetDataSet>
      <sheetData sheetId="0"/>
      <sheetData sheetId="1">
        <row r="6">
          <cell r="J6" t="str">
            <v>Metric</v>
          </cell>
        </row>
        <row r="50">
          <cell r="L50">
            <v>-50</v>
          </cell>
          <cell r="P50">
            <v>-83.236532399906125</v>
          </cell>
          <cell r="AE50">
            <v>150</v>
          </cell>
        </row>
        <row r="51">
          <cell r="L51">
            <v>-100</v>
          </cell>
          <cell r="P51">
            <v>-40.973076208216511</v>
          </cell>
          <cell r="AE51">
            <v>60</v>
          </cell>
        </row>
        <row r="53">
          <cell r="AH53">
            <v>745.63228856138392</v>
          </cell>
        </row>
        <row r="60">
          <cell r="P60">
            <v>315.11779192070196</v>
          </cell>
          <cell r="W60">
            <v>-315.1178216895517</v>
          </cell>
        </row>
        <row r="61">
          <cell r="P61">
            <v>-675.77237309133079</v>
          </cell>
          <cell r="W61">
            <v>675.77234938914069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9525">
          <a:solidFill>
            <a:schemeClr val="tx1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VersionHistory"/>
  <dimension ref="A1:BF63"/>
  <sheetViews>
    <sheetView showGridLines="0" workbookViewId="0">
      <selection activeCell="AX18" sqref="AX18"/>
    </sheetView>
  </sheetViews>
  <sheetFormatPr defaultColWidth="2.7109375" defaultRowHeight="10.5" x14ac:dyDescent="0.2"/>
  <cols>
    <col min="1" max="1" width="1.7109375" style="10" customWidth="1"/>
    <col min="2" max="9" width="2.7109375" style="10"/>
    <col min="10" max="10" width="3.140625" style="10" bestFit="1" customWidth="1"/>
    <col min="11" max="14" width="2.7109375" style="10"/>
    <col min="15" max="15" width="2.7109375" style="10" customWidth="1"/>
    <col min="16" max="17" width="2.7109375" style="10"/>
    <col min="18" max="18" width="3.28515625" style="10" customWidth="1"/>
    <col min="19" max="19" width="2.7109375" style="10"/>
    <col min="20" max="20" width="3.140625" style="10" bestFit="1" customWidth="1"/>
    <col min="21" max="35" width="2.7109375" style="10"/>
    <col min="36" max="36" width="5.42578125" style="10" bestFit="1" customWidth="1"/>
    <col min="37" max="47" width="2.7109375" style="10"/>
    <col min="48" max="48" width="8.5703125" style="10" customWidth="1"/>
    <col min="49" max="49" width="6.5703125" style="10" bestFit="1" customWidth="1"/>
    <col min="50" max="50" width="47.140625" style="10" bestFit="1" customWidth="1"/>
    <col min="51" max="51" width="6.5703125" style="10" bestFit="1" customWidth="1"/>
    <col min="52" max="52" width="9.7109375" style="10" bestFit="1" customWidth="1"/>
    <col min="53" max="53" width="8" style="10" bestFit="1" customWidth="1"/>
    <col min="54" max="54" width="7.140625" style="10" bestFit="1" customWidth="1"/>
    <col min="55" max="56" width="8.140625" style="10" bestFit="1" customWidth="1"/>
    <col min="57" max="57" width="8" style="10" bestFit="1" customWidth="1"/>
    <col min="58" max="16384" width="2.7109375" style="10"/>
  </cols>
  <sheetData>
    <row r="1" spans="1:58" ht="15" customHeight="1" x14ac:dyDescent="0.2">
      <c r="A1" s="8"/>
      <c r="B1" s="67" t="s">
        <v>3</v>
      </c>
      <c r="C1" s="67"/>
      <c r="D1" s="67"/>
      <c r="E1" s="67"/>
      <c r="F1" s="24" t="s">
        <v>0</v>
      </c>
      <c r="G1" s="67" t="s">
        <v>14</v>
      </c>
      <c r="H1" s="67"/>
      <c r="I1" s="67"/>
      <c r="J1" s="67"/>
      <c r="K1" s="67"/>
      <c r="L1" s="67"/>
      <c r="M1" s="67"/>
      <c r="N1" s="67"/>
      <c r="O1" s="67"/>
      <c r="P1" s="67"/>
      <c r="Q1" s="67"/>
      <c r="R1" s="68"/>
      <c r="S1" s="69" t="s">
        <v>2</v>
      </c>
      <c r="T1" s="67"/>
      <c r="U1" s="67"/>
      <c r="V1" s="24" t="s">
        <v>0</v>
      </c>
      <c r="W1" s="70" t="s">
        <v>9</v>
      </c>
      <c r="X1" s="70"/>
      <c r="Y1" s="71"/>
      <c r="Z1" s="72" t="s">
        <v>1</v>
      </c>
      <c r="AA1" s="72"/>
      <c r="AB1" s="72"/>
      <c r="AC1" s="72"/>
      <c r="AD1" s="72"/>
      <c r="AE1" s="72"/>
      <c r="AF1" s="72"/>
      <c r="AG1" s="72"/>
    </row>
    <row r="2" spans="1:58" ht="15" customHeight="1" x14ac:dyDescent="0.2">
      <c r="A2" s="8"/>
      <c r="B2" s="67" t="s">
        <v>4</v>
      </c>
      <c r="C2" s="67"/>
      <c r="D2" s="67"/>
      <c r="E2" s="67"/>
      <c r="F2" s="24" t="s">
        <v>0</v>
      </c>
      <c r="G2" s="67" t="s">
        <v>15</v>
      </c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  <c r="S2" s="69" t="s">
        <v>7</v>
      </c>
      <c r="T2" s="67"/>
      <c r="U2" s="67"/>
      <c r="V2" s="24" t="s">
        <v>0</v>
      </c>
      <c r="W2" s="70" t="s">
        <v>9</v>
      </c>
      <c r="X2" s="70"/>
      <c r="Y2" s="71"/>
      <c r="Z2" s="80" t="s">
        <v>10</v>
      </c>
      <c r="AA2" s="80"/>
      <c r="AB2" s="80"/>
      <c r="AC2" s="80"/>
      <c r="AD2" s="72" t="s">
        <v>13</v>
      </c>
      <c r="AE2" s="72"/>
      <c r="AF2" s="72"/>
      <c r="AG2" s="72"/>
      <c r="AI2" s="25"/>
      <c r="AJ2" s="25"/>
      <c r="AK2" s="22"/>
      <c r="AL2" s="22"/>
      <c r="AM2" s="22"/>
    </row>
    <row r="3" spans="1:58" ht="15" customHeight="1" x14ac:dyDescent="0.2">
      <c r="A3" s="8"/>
      <c r="B3" s="67" t="s">
        <v>5</v>
      </c>
      <c r="C3" s="67"/>
      <c r="D3" s="67"/>
      <c r="E3" s="67"/>
      <c r="F3" s="24" t="s">
        <v>0</v>
      </c>
      <c r="G3" s="67" t="s">
        <v>14</v>
      </c>
      <c r="H3" s="67"/>
      <c r="I3" s="67"/>
      <c r="J3" s="67"/>
      <c r="K3" s="67"/>
      <c r="L3" s="67"/>
      <c r="M3" s="67"/>
      <c r="N3" s="67"/>
      <c r="O3" s="67"/>
      <c r="P3" s="67"/>
      <c r="Q3" s="67"/>
      <c r="R3" s="68"/>
      <c r="S3" s="69" t="s">
        <v>8</v>
      </c>
      <c r="T3" s="67"/>
      <c r="U3" s="67"/>
      <c r="V3" s="24" t="s">
        <v>0</v>
      </c>
      <c r="W3" s="70" t="s">
        <v>9</v>
      </c>
      <c r="X3" s="70"/>
      <c r="Y3" s="71"/>
      <c r="Z3" s="80" t="s">
        <v>11</v>
      </c>
      <c r="AA3" s="80"/>
      <c r="AB3" s="80"/>
      <c r="AC3" s="80"/>
      <c r="AD3" s="72" t="s">
        <v>16</v>
      </c>
      <c r="AE3" s="72"/>
      <c r="AF3" s="72"/>
      <c r="AG3" s="72"/>
      <c r="AL3" s="22"/>
      <c r="AM3" s="22"/>
      <c r="AN3" s="22"/>
      <c r="AO3" s="22"/>
      <c r="AP3" s="22"/>
    </row>
    <row r="4" spans="1:58" ht="15" customHeight="1" x14ac:dyDescent="0.2">
      <c r="A4" s="8"/>
      <c r="B4" s="67" t="s">
        <v>6</v>
      </c>
      <c r="C4" s="67"/>
      <c r="D4" s="67"/>
      <c r="E4" s="67"/>
      <c r="F4" s="24" t="s">
        <v>0</v>
      </c>
      <c r="G4" s="81" t="s">
        <v>14</v>
      </c>
      <c r="H4" s="81"/>
      <c r="I4" s="81"/>
      <c r="J4" s="81"/>
      <c r="K4" s="81"/>
      <c r="L4" s="81"/>
      <c r="M4" s="81"/>
      <c r="N4" s="81"/>
      <c r="O4" s="81"/>
      <c r="P4" s="81"/>
      <c r="Q4" s="81"/>
      <c r="R4" s="82"/>
      <c r="S4" s="83" t="s">
        <v>38</v>
      </c>
      <c r="T4" s="84"/>
      <c r="U4" s="84"/>
      <c r="V4" s="84"/>
      <c r="W4" s="84"/>
      <c r="X4" s="84"/>
      <c r="Y4" s="85"/>
      <c r="Z4" s="86" t="s">
        <v>12</v>
      </c>
      <c r="AA4" s="86"/>
      <c r="AB4" s="86"/>
      <c r="AC4" s="86"/>
      <c r="AD4" s="87">
        <v>45748</v>
      </c>
      <c r="AE4" s="87"/>
      <c r="AF4" s="87"/>
      <c r="AG4" s="87"/>
      <c r="AN4" s="4"/>
    </row>
    <row r="5" spans="1:58" x14ac:dyDescent="0.2">
      <c r="A5" s="26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1"/>
      <c r="AN5" s="4"/>
    </row>
    <row r="6" spans="1:58" x14ac:dyDescent="0.2">
      <c r="A6" s="27"/>
      <c r="B6" s="28" t="s">
        <v>17</v>
      </c>
      <c r="D6" s="22"/>
      <c r="E6" s="22"/>
      <c r="F6" s="22"/>
      <c r="G6" s="22"/>
      <c r="H6" s="22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19"/>
    </row>
    <row r="7" spans="1:58" x14ac:dyDescent="0.2">
      <c r="A7" s="2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19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</row>
    <row r="8" spans="1:58" ht="12.75" x14ac:dyDescent="0.2">
      <c r="A8" s="27"/>
      <c r="B8" s="73" t="s">
        <v>18</v>
      </c>
      <c r="C8" s="74"/>
      <c r="D8" s="74"/>
      <c r="E8" s="75"/>
      <c r="F8" s="76" t="s">
        <v>19</v>
      </c>
      <c r="G8" s="77"/>
      <c r="H8" s="77"/>
      <c r="I8" s="77"/>
      <c r="J8" s="77"/>
      <c r="K8" s="77"/>
      <c r="L8" s="77"/>
      <c r="M8" s="77"/>
      <c r="N8" s="77"/>
      <c r="O8" s="78"/>
      <c r="P8" s="73" t="s">
        <v>20</v>
      </c>
      <c r="Q8" s="74"/>
      <c r="R8" s="74"/>
      <c r="S8" s="75"/>
      <c r="T8" s="76" t="s">
        <v>21</v>
      </c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8"/>
      <c r="AG8" s="19"/>
      <c r="AI8" s="7"/>
      <c r="AJ8" s="29"/>
      <c r="AK8" s="29"/>
      <c r="AL8" s="29"/>
      <c r="AM8" s="29"/>
      <c r="AN8" s="7"/>
      <c r="AO8" s="29"/>
      <c r="AP8" s="29"/>
      <c r="AQ8" s="29"/>
      <c r="AR8" s="30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</row>
    <row r="9" spans="1:58" ht="12.75" x14ac:dyDescent="0.2">
      <c r="A9" s="27"/>
      <c r="B9" s="88">
        <v>1</v>
      </c>
      <c r="C9" s="89"/>
      <c r="D9" s="89"/>
      <c r="E9" s="90"/>
      <c r="F9" s="91" t="s">
        <v>22</v>
      </c>
      <c r="G9" s="77"/>
      <c r="H9" s="77"/>
      <c r="I9" s="77"/>
      <c r="J9" s="77"/>
      <c r="K9" s="77"/>
      <c r="L9" s="77"/>
      <c r="M9" s="77"/>
      <c r="N9" s="77"/>
      <c r="O9" s="78"/>
      <c r="P9" s="92">
        <v>45741</v>
      </c>
      <c r="Q9" s="93"/>
      <c r="R9" s="93"/>
      <c r="S9" s="94"/>
      <c r="T9" s="91" t="s">
        <v>14</v>
      </c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8"/>
      <c r="AG9" s="19"/>
      <c r="AI9" s="31"/>
      <c r="AJ9" s="29"/>
      <c r="AK9" s="29"/>
      <c r="AL9" s="29"/>
      <c r="AM9" s="29"/>
      <c r="AN9" s="7"/>
      <c r="AO9" s="29"/>
      <c r="AP9" s="29"/>
      <c r="AQ9" s="29"/>
      <c r="AR9" s="32"/>
      <c r="AS9" s="33"/>
      <c r="AT9" s="33"/>
      <c r="AU9" s="33"/>
      <c r="AV9" s="32"/>
      <c r="AW9" s="34"/>
      <c r="AX9" s="35"/>
      <c r="AY9" s="35"/>
      <c r="AZ9" s="35"/>
      <c r="BA9" s="35"/>
      <c r="BB9" s="35"/>
      <c r="BC9" s="35"/>
      <c r="BD9" s="35"/>
      <c r="BE9" s="35"/>
      <c r="BF9" s="35"/>
    </row>
    <row r="10" spans="1:58" ht="12.75" x14ac:dyDescent="0.2">
      <c r="A10" s="27"/>
      <c r="B10" s="95">
        <v>1.1000000000000001</v>
      </c>
      <c r="C10" s="96"/>
      <c r="D10" s="96"/>
      <c r="E10" s="96"/>
      <c r="F10" s="98" t="s">
        <v>40</v>
      </c>
      <c r="G10" s="99"/>
      <c r="H10" s="99"/>
      <c r="I10" s="99"/>
      <c r="J10" s="99"/>
      <c r="K10" s="99"/>
      <c r="L10" s="99"/>
      <c r="M10" s="99"/>
      <c r="N10" s="99"/>
      <c r="O10" s="99"/>
      <c r="P10" s="100">
        <v>45748</v>
      </c>
      <c r="Q10" s="101"/>
      <c r="R10" s="101"/>
      <c r="S10" s="101"/>
      <c r="T10" s="98" t="s">
        <v>41</v>
      </c>
      <c r="U10" s="99"/>
      <c r="V10" s="99"/>
      <c r="W10" s="99"/>
      <c r="X10" s="99"/>
      <c r="Y10" s="99"/>
      <c r="Z10" s="99"/>
      <c r="AA10" s="99"/>
      <c r="AB10" s="99"/>
      <c r="AC10" s="99"/>
      <c r="AD10" s="99"/>
      <c r="AE10" s="99"/>
      <c r="AF10" s="99"/>
      <c r="AG10" s="19"/>
      <c r="AI10" s="7"/>
      <c r="AJ10" s="29"/>
      <c r="AK10" s="29"/>
      <c r="AL10" s="29"/>
      <c r="AM10" s="29"/>
      <c r="AN10" s="7"/>
      <c r="AO10" s="7"/>
      <c r="AP10" s="7"/>
      <c r="AQ10" s="7"/>
      <c r="AR10" s="32"/>
      <c r="AS10" s="33"/>
      <c r="AT10" s="33"/>
      <c r="AU10" s="33"/>
      <c r="AV10" s="32"/>
      <c r="AW10" s="34"/>
      <c r="AX10" s="35"/>
      <c r="AY10" s="35"/>
      <c r="AZ10" s="35"/>
      <c r="BA10" s="35"/>
      <c r="BB10" s="35"/>
      <c r="BC10" s="35"/>
      <c r="BD10" s="35"/>
      <c r="BE10" s="35"/>
      <c r="BF10" s="35"/>
    </row>
    <row r="11" spans="1:58" ht="12.75" x14ac:dyDescent="0.2">
      <c r="A11" s="27"/>
      <c r="B11" s="102"/>
      <c r="C11" s="103"/>
      <c r="D11" s="103"/>
      <c r="E11" s="103"/>
      <c r="F11" s="104"/>
      <c r="G11" s="105"/>
      <c r="H11" s="105"/>
      <c r="I11" s="105"/>
      <c r="J11" s="105"/>
      <c r="K11" s="105"/>
      <c r="L11" s="105"/>
      <c r="M11" s="105"/>
      <c r="N11" s="105"/>
      <c r="O11" s="105"/>
      <c r="P11" s="106"/>
      <c r="Q11" s="107"/>
      <c r="R11" s="107"/>
      <c r="S11" s="107"/>
      <c r="T11" s="104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  <c r="AE11" s="105"/>
      <c r="AF11" s="105"/>
      <c r="AG11" s="19"/>
      <c r="AI11" s="7"/>
      <c r="AJ11" s="29"/>
      <c r="AK11" s="29"/>
      <c r="AL11" s="29"/>
      <c r="AM11" s="29"/>
      <c r="AN11" s="7"/>
      <c r="AO11" s="7"/>
      <c r="AP11" s="7"/>
      <c r="AQ11" s="7"/>
      <c r="AR11" s="32"/>
      <c r="AS11" s="33"/>
      <c r="AT11" s="33"/>
      <c r="AU11" s="33"/>
      <c r="AV11" s="32"/>
      <c r="AW11" s="34"/>
      <c r="AX11" s="35"/>
      <c r="AY11" s="35"/>
      <c r="AZ11" s="35"/>
      <c r="BA11" s="35"/>
      <c r="BB11" s="35"/>
      <c r="BC11" s="35"/>
      <c r="BD11" s="35"/>
      <c r="BE11" s="35"/>
      <c r="BF11" s="35"/>
    </row>
    <row r="12" spans="1:58" ht="12.75" x14ac:dyDescent="0.2">
      <c r="A12" s="27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7"/>
      <c r="AG12" s="19"/>
      <c r="AI12" s="7"/>
      <c r="AJ12" s="29"/>
      <c r="AK12" s="29"/>
      <c r="AL12" s="29"/>
      <c r="AM12" s="29"/>
      <c r="AN12" s="7"/>
      <c r="AO12" s="7"/>
      <c r="AP12" s="7"/>
      <c r="AQ12" s="7"/>
      <c r="AR12" s="32"/>
      <c r="AS12" s="33"/>
      <c r="AT12" s="33"/>
      <c r="AU12" s="33"/>
      <c r="AV12" s="32"/>
      <c r="AW12" s="34"/>
      <c r="AX12" s="35"/>
      <c r="AY12" s="35"/>
      <c r="AZ12" s="35"/>
      <c r="BA12" s="35"/>
      <c r="BB12" s="35"/>
      <c r="BC12" s="35"/>
      <c r="BD12" s="35"/>
      <c r="BE12" s="35"/>
      <c r="BF12" s="35"/>
    </row>
    <row r="13" spans="1:58" ht="12.75" x14ac:dyDescent="0.2">
      <c r="A13" s="27"/>
      <c r="B13" s="95"/>
      <c r="C13" s="96"/>
      <c r="D13" s="96"/>
      <c r="E13" s="96"/>
      <c r="F13" s="98"/>
      <c r="G13" s="99"/>
      <c r="H13" s="99"/>
      <c r="I13" s="99"/>
      <c r="J13" s="99"/>
      <c r="K13" s="99"/>
      <c r="L13" s="99"/>
      <c r="M13" s="99"/>
      <c r="N13" s="99"/>
      <c r="O13" s="99"/>
      <c r="P13" s="100"/>
      <c r="Q13" s="101"/>
      <c r="R13" s="101"/>
      <c r="S13" s="101"/>
      <c r="T13" s="98"/>
      <c r="U13" s="99"/>
      <c r="V13" s="99"/>
      <c r="W13" s="99"/>
      <c r="X13" s="99"/>
      <c r="Y13" s="99"/>
      <c r="Z13" s="99"/>
      <c r="AA13" s="99"/>
      <c r="AB13" s="99"/>
      <c r="AC13" s="99"/>
      <c r="AD13" s="99"/>
      <c r="AE13" s="99"/>
      <c r="AF13" s="99"/>
      <c r="AG13" s="19"/>
      <c r="AI13" s="7"/>
      <c r="AJ13" s="29"/>
      <c r="AK13" s="29"/>
      <c r="AL13" s="29"/>
      <c r="AM13" s="29"/>
      <c r="AN13" s="7"/>
      <c r="AO13" s="29"/>
      <c r="AP13" s="29"/>
      <c r="AQ13" s="29"/>
      <c r="AR13" s="32"/>
      <c r="AS13" s="33"/>
      <c r="AT13" s="33"/>
      <c r="AU13" s="33"/>
      <c r="AV13" s="32"/>
      <c r="AW13" s="34"/>
      <c r="AX13" s="35"/>
      <c r="AY13" s="35"/>
      <c r="AZ13" s="35"/>
      <c r="BA13" s="35"/>
      <c r="BB13" s="35"/>
      <c r="BC13" s="35"/>
      <c r="BD13" s="35"/>
      <c r="BE13" s="35"/>
      <c r="BF13" s="35"/>
    </row>
    <row r="14" spans="1:58" s="7" customFormat="1" ht="12.75" x14ac:dyDescent="0.2">
      <c r="A14" s="27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  <c r="AF14" s="97"/>
      <c r="AG14" s="19"/>
      <c r="AJ14" s="29"/>
      <c r="AK14" s="29"/>
      <c r="AL14" s="29"/>
      <c r="AM14" s="29"/>
      <c r="AO14" s="29"/>
      <c r="AP14" s="29"/>
      <c r="AQ14" s="29"/>
      <c r="AR14" s="36"/>
      <c r="AS14" s="37"/>
      <c r="AT14" s="37"/>
      <c r="AU14" s="37"/>
      <c r="AV14" s="36"/>
      <c r="AW14" s="36"/>
      <c r="AX14" s="37"/>
      <c r="AY14" s="37"/>
      <c r="AZ14" s="37"/>
      <c r="BA14" s="37"/>
      <c r="BB14" s="37"/>
      <c r="BC14" s="37"/>
      <c r="BD14" s="37"/>
      <c r="BE14" s="37"/>
      <c r="BF14" s="37"/>
    </row>
    <row r="15" spans="1:58" s="7" customFormat="1" ht="12.75" x14ac:dyDescent="0.2">
      <c r="A15" s="27"/>
      <c r="B15" s="108"/>
      <c r="C15" s="109"/>
      <c r="D15" s="109"/>
      <c r="E15" s="109"/>
      <c r="F15" s="112"/>
      <c r="G15" s="113"/>
      <c r="H15" s="113"/>
      <c r="I15" s="113"/>
      <c r="J15" s="113"/>
      <c r="K15" s="113"/>
      <c r="L15" s="113"/>
      <c r="M15" s="113"/>
      <c r="N15" s="113"/>
      <c r="O15" s="113"/>
      <c r="P15" s="114"/>
      <c r="Q15" s="115"/>
      <c r="R15" s="115"/>
      <c r="S15" s="115"/>
      <c r="T15" s="98"/>
      <c r="U15" s="99"/>
      <c r="V15" s="99"/>
      <c r="W15" s="99"/>
      <c r="X15" s="99"/>
      <c r="Y15" s="99"/>
      <c r="Z15" s="99"/>
      <c r="AA15" s="99"/>
      <c r="AB15" s="99"/>
      <c r="AC15" s="99"/>
      <c r="AD15" s="99"/>
      <c r="AE15" s="99"/>
      <c r="AF15" s="99"/>
      <c r="AG15" s="19"/>
      <c r="AJ15" s="29"/>
      <c r="AK15" s="29"/>
      <c r="AL15" s="29"/>
      <c r="AM15" s="29"/>
      <c r="AO15" s="29"/>
      <c r="AP15" s="29"/>
      <c r="AQ15" s="29"/>
      <c r="AR15" s="29"/>
    </row>
    <row r="16" spans="1:58" s="7" customFormat="1" ht="12.75" x14ac:dyDescent="0.2">
      <c r="A16" s="27"/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F16" s="116"/>
      <c r="AG16" s="19"/>
      <c r="AJ16" s="29"/>
      <c r="AK16" s="29"/>
      <c r="AL16" s="29"/>
      <c r="AM16" s="29"/>
      <c r="AO16" s="29"/>
      <c r="AP16" s="29"/>
      <c r="AQ16" s="29"/>
      <c r="AR16" s="29"/>
    </row>
    <row r="17" spans="1:44" s="7" customFormat="1" ht="12.75" x14ac:dyDescent="0.2">
      <c r="A17" s="27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97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19"/>
      <c r="AJ17" s="29"/>
      <c r="AK17" s="29"/>
      <c r="AL17" s="29"/>
      <c r="AM17" s="29"/>
      <c r="AO17" s="29"/>
      <c r="AP17" s="29"/>
      <c r="AQ17" s="29"/>
      <c r="AR17" s="29"/>
    </row>
    <row r="18" spans="1:44" s="7" customFormat="1" ht="12.75" x14ac:dyDescent="0.2">
      <c r="A18" s="27"/>
      <c r="B18" s="108"/>
      <c r="C18" s="109"/>
      <c r="D18" s="109"/>
      <c r="E18" s="109"/>
      <c r="F18" s="112"/>
      <c r="G18" s="113"/>
      <c r="H18" s="113"/>
      <c r="I18" s="113"/>
      <c r="J18" s="113"/>
      <c r="K18" s="113"/>
      <c r="L18" s="113"/>
      <c r="M18" s="113"/>
      <c r="N18" s="113"/>
      <c r="O18" s="113"/>
      <c r="P18" s="114"/>
      <c r="Q18" s="115"/>
      <c r="R18" s="115"/>
      <c r="S18" s="115"/>
      <c r="T18" s="98"/>
      <c r="U18" s="99"/>
      <c r="V18" s="99"/>
      <c r="W18" s="99"/>
      <c r="X18" s="99"/>
      <c r="Y18" s="99"/>
      <c r="Z18" s="99"/>
      <c r="AA18" s="99"/>
      <c r="AB18" s="99"/>
      <c r="AC18" s="99"/>
      <c r="AD18" s="99"/>
      <c r="AE18" s="99"/>
      <c r="AF18" s="99"/>
      <c r="AG18" s="19"/>
      <c r="AJ18" s="29"/>
      <c r="AK18" s="29"/>
      <c r="AL18" s="29"/>
      <c r="AM18" s="29"/>
      <c r="AO18" s="29"/>
      <c r="AP18" s="29"/>
      <c r="AQ18" s="29"/>
      <c r="AR18" s="29"/>
    </row>
    <row r="19" spans="1:44" s="7" customFormat="1" ht="12.75" x14ac:dyDescent="0.2">
      <c r="A19" s="27"/>
      <c r="B19" s="110"/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9"/>
      <c r="AJ19" s="29"/>
      <c r="AK19" s="29"/>
      <c r="AL19" s="29"/>
      <c r="AM19" s="29"/>
      <c r="AO19" s="29"/>
      <c r="AP19" s="29"/>
      <c r="AQ19" s="29"/>
      <c r="AR19" s="29"/>
    </row>
    <row r="20" spans="1:44" s="7" customFormat="1" ht="12.75" x14ac:dyDescent="0.2">
      <c r="A20" s="27"/>
      <c r="B20" s="108"/>
      <c r="C20" s="109"/>
      <c r="D20" s="109"/>
      <c r="E20" s="109"/>
      <c r="F20" s="112"/>
      <c r="G20" s="113"/>
      <c r="H20" s="113"/>
      <c r="I20" s="113"/>
      <c r="J20" s="113"/>
      <c r="K20" s="113"/>
      <c r="L20" s="113"/>
      <c r="M20" s="113"/>
      <c r="N20" s="113"/>
      <c r="O20" s="113"/>
      <c r="P20" s="114"/>
      <c r="Q20" s="115"/>
      <c r="R20" s="115"/>
      <c r="S20" s="115"/>
      <c r="T20" s="98"/>
      <c r="U20" s="99"/>
      <c r="V20" s="99"/>
      <c r="W20" s="99"/>
      <c r="X20" s="99"/>
      <c r="Y20" s="99"/>
      <c r="Z20" s="99"/>
      <c r="AA20" s="99"/>
      <c r="AB20" s="99"/>
      <c r="AC20" s="99"/>
      <c r="AD20" s="99"/>
      <c r="AE20" s="99"/>
      <c r="AF20" s="99"/>
      <c r="AG20" s="19"/>
      <c r="AJ20" s="29"/>
      <c r="AK20" s="29"/>
      <c r="AL20" s="29"/>
      <c r="AM20" s="29"/>
      <c r="AO20" s="29"/>
      <c r="AP20" s="29"/>
      <c r="AQ20" s="29"/>
      <c r="AR20" s="29"/>
    </row>
    <row r="21" spans="1:44" s="7" customFormat="1" ht="12.75" x14ac:dyDescent="0.2">
      <c r="A21" s="27"/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111"/>
      <c r="R21" s="111"/>
      <c r="S21" s="111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19"/>
      <c r="AJ21" s="29"/>
      <c r="AK21" s="29"/>
      <c r="AL21" s="29"/>
      <c r="AM21" s="29"/>
      <c r="AO21" s="29"/>
      <c r="AP21" s="29"/>
      <c r="AQ21" s="29"/>
      <c r="AR21" s="29"/>
    </row>
    <row r="22" spans="1:44" s="7" customFormat="1" ht="12.75" x14ac:dyDescent="0.2">
      <c r="A22" s="27"/>
      <c r="B22" s="108"/>
      <c r="C22" s="109"/>
      <c r="D22" s="109"/>
      <c r="E22" s="109"/>
      <c r="F22" s="112"/>
      <c r="G22" s="113"/>
      <c r="H22" s="113"/>
      <c r="I22" s="113"/>
      <c r="J22" s="113"/>
      <c r="K22" s="113"/>
      <c r="L22" s="113"/>
      <c r="M22" s="113"/>
      <c r="N22" s="113"/>
      <c r="O22" s="113"/>
      <c r="P22" s="114"/>
      <c r="Q22" s="115"/>
      <c r="R22" s="115"/>
      <c r="S22" s="115"/>
      <c r="T22" s="98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  <c r="AF22" s="99"/>
      <c r="AG22" s="19"/>
      <c r="AJ22" s="29"/>
      <c r="AK22" s="29"/>
      <c r="AL22" s="29"/>
      <c r="AM22" s="29"/>
      <c r="AO22" s="29"/>
      <c r="AP22" s="29"/>
      <c r="AQ22" s="29"/>
      <c r="AR22" s="29"/>
    </row>
    <row r="23" spans="1:44" s="7" customFormat="1" ht="12.75" x14ac:dyDescent="0.2">
      <c r="A23" s="27"/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19"/>
      <c r="AJ23" s="29"/>
      <c r="AK23" s="29"/>
      <c r="AL23" s="29"/>
      <c r="AM23" s="29"/>
      <c r="AO23" s="29"/>
      <c r="AP23" s="29"/>
      <c r="AQ23" s="29"/>
      <c r="AR23" s="29"/>
    </row>
    <row r="24" spans="1:44" s="7" customFormat="1" ht="12.75" x14ac:dyDescent="0.2">
      <c r="A24" s="27"/>
      <c r="B24" s="108"/>
      <c r="C24" s="109"/>
      <c r="D24" s="109"/>
      <c r="E24" s="109"/>
      <c r="F24" s="112"/>
      <c r="G24" s="113"/>
      <c r="H24" s="113"/>
      <c r="I24" s="113"/>
      <c r="J24" s="113"/>
      <c r="K24" s="113"/>
      <c r="L24" s="113"/>
      <c r="M24" s="113"/>
      <c r="N24" s="113"/>
      <c r="O24" s="113"/>
      <c r="P24" s="114"/>
      <c r="Q24" s="115"/>
      <c r="R24" s="115"/>
      <c r="S24" s="115"/>
      <c r="T24" s="98"/>
      <c r="U24" s="99"/>
      <c r="V24" s="99"/>
      <c r="W24" s="99"/>
      <c r="X24" s="99"/>
      <c r="Y24" s="99"/>
      <c r="Z24" s="99"/>
      <c r="AA24" s="99"/>
      <c r="AB24" s="99"/>
      <c r="AC24" s="99"/>
      <c r="AD24" s="99"/>
      <c r="AE24" s="99"/>
      <c r="AF24" s="99"/>
      <c r="AG24" s="19"/>
      <c r="AJ24" s="29"/>
      <c r="AK24" s="29"/>
      <c r="AL24" s="29"/>
      <c r="AM24" s="29"/>
      <c r="AO24" s="29"/>
      <c r="AP24" s="29"/>
      <c r="AQ24" s="29"/>
      <c r="AR24" s="29"/>
    </row>
    <row r="25" spans="1:44" s="7" customFormat="1" ht="12.75" x14ac:dyDescent="0.2">
      <c r="A25" s="27"/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19"/>
      <c r="AJ25" s="29"/>
      <c r="AK25" s="29"/>
      <c r="AL25" s="29"/>
      <c r="AM25" s="29"/>
      <c r="AO25" s="29"/>
      <c r="AP25" s="29"/>
      <c r="AQ25" s="29"/>
      <c r="AR25" s="29"/>
    </row>
    <row r="26" spans="1:44" s="7" customFormat="1" ht="12.75" x14ac:dyDescent="0.2">
      <c r="A26" s="27"/>
      <c r="B26" s="108"/>
      <c r="C26" s="109"/>
      <c r="D26" s="109"/>
      <c r="E26" s="109"/>
      <c r="F26" s="112"/>
      <c r="G26" s="113"/>
      <c r="H26" s="113"/>
      <c r="I26" s="113"/>
      <c r="J26" s="113"/>
      <c r="K26" s="113"/>
      <c r="L26" s="113"/>
      <c r="M26" s="113"/>
      <c r="N26" s="113"/>
      <c r="O26" s="113"/>
      <c r="P26" s="114"/>
      <c r="Q26" s="115"/>
      <c r="R26" s="115"/>
      <c r="S26" s="115"/>
      <c r="T26" s="98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  <c r="AG26" s="19"/>
      <c r="AJ26" s="29"/>
      <c r="AK26" s="29"/>
      <c r="AL26" s="29"/>
      <c r="AM26" s="29"/>
      <c r="AO26" s="29"/>
      <c r="AP26" s="29"/>
      <c r="AQ26" s="29"/>
      <c r="AR26" s="29"/>
    </row>
    <row r="27" spans="1:44" s="7" customFormat="1" x14ac:dyDescent="0.2">
      <c r="A27" s="27"/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97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19"/>
    </row>
    <row r="28" spans="1:44" s="7" customFormat="1" ht="15.75" x14ac:dyDescent="0.2">
      <c r="A28" s="38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40"/>
    </row>
    <row r="29" spans="1:44" s="7" customFormat="1" ht="15.75" x14ac:dyDescent="0.2">
      <c r="A29" s="41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40"/>
    </row>
    <row r="30" spans="1:44" s="7" customFormat="1" ht="15.75" x14ac:dyDescent="0.2">
      <c r="A30" s="41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40"/>
    </row>
    <row r="31" spans="1:44" s="7" customFormat="1" ht="15.75" x14ac:dyDescent="0.2">
      <c r="A31" s="41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40"/>
    </row>
    <row r="32" spans="1:44" s="7" customFormat="1" ht="15.75" x14ac:dyDescent="0.2">
      <c r="A32" s="41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40"/>
    </row>
    <row r="33" spans="1:33" s="7" customFormat="1" x14ac:dyDescent="0.2">
      <c r="A33" s="27"/>
      <c r="AG33" s="19"/>
    </row>
    <row r="34" spans="1:33" s="7" customFormat="1" x14ac:dyDescent="0.2">
      <c r="A34" s="27"/>
      <c r="AG34" s="19"/>
    </row>
    <row r="35" spans="1:33" s="7" customFormat="1" x14ac:dyDescent="0.2">
      <c r="A35" s="27"/>
      <c r="B35" s="42"/>
      <c r="AG35" s="19"/>
    </row>
    <row r="36" spans="1:33" s="7" customFormat="1" ht="12.75" x14ac:dyDescent="0.2">
      <c r="A36" s="27"/>
      <c r="W36" s="29"/>
      <c r="X36" s="29"/>
      <c r="Y36" s="29"/>
      <c r="Z36" s="29"/>
      <c r="AA36" s="29"/>
      <c r="AC36" s="29"/>
      <c r="AD36" s="29"/>
      <c r="AE36" s="29"/>
      <c r="AF36" s="29"/>
      <c r="AG36" s="43"/>
    </row>
    <row r="37" spans="1:33" s="7" customFormat="1" ht="12.75" x14ac:dyDescent="0.2">
      <c r="A37" s="27"/>
      <c r="C37" s="29"/>
      <c r="E37" s="29"/>
      <c r="F37" s="29"/>
      <c r="G37" s="29"/>
      <c r="H37" s="29"/>
      <c r="I37" s="29"/>
      <c r="J37" s="29"/>
      <c r="K37" s="29"/>
      <c r="L37" s="29"/>
      <c r="R37" s="29"/>
      <c r="S37" s="29"/>
      <c r="T37" s="29"/>
      <c r="U37" s="29"/>
      <c r="W37" s="29"/>
      <c r="X37" s="29"/>
      <c r="Z37" s="29"/>
      <c r="AA37" s="29"/>
      <c r="AG37" s="19"/>
    </row>
    <row r="38" spans="1:33" s="7" customFormat="1" ht="12.75" x14ac:dyDescent="0.2">
      <c r="A38" s="27"/>
      <c r="C38" s="29"/>
      <c r="E38" s="29"/>
      <c r="F38" s="29"/>
      <c r="G38" s="29"/>
      <c r="H38" s="29"/>
      <c r="I38" s="29"/>
      <c r="J38" s="29"/>
      <c r="K38" s="29"/>
      <c r="L38" s="29"/>
      <c r="R38" s="29"/>
      <c r="S38" s="29"/>
      <c r="T38" s="29"/>
      <c r="U38" s="29"/>
      <c r="W38" s="29"/>
      <c r="X38" s="29"/>
      <c r="Z38" s="29"/>
      <c r="AA38" s="29"/>
      <c r="AG38" s="19"/>
    </row>
    <row r="39" spans="1:33" s="7" customFormat="1" ht="12.75" x14ac:dyDescent="0.2">
      <c r="A39" s="27"/>
      <c r="C39" s="29"/>
      <c r="E39" s="29"/>
      <c r="F39" s="29"/>
      <c r="G39" s="29"/>
      <c r="H39" s="29"/>
      <c r="I39" s="29"/>
      <c r="J39" s="29"/>
      <c r="K39" s="29"/>
      <c r="L39" s="29"/>
      <c r="R39" s="29"/>
      <c r="S39" s="29"/>
      <c r="T39" s="29"/>
      <c r="U39" s="29"/>
      <c r="W39" s="29"/>
      <c r="X39" s="29"/>
      <c r="Z39" s="29"/>
      <c r="AA39" s="29"/>
      <c r="AG39" s="19"/>
    </row>
    <row r="40" spans="1:33" s="7" customFormat="1" ht="12.75" x14ac:dyDescent="0.2">
      <c r="A40" s="27"/>
      <c r="C40" s="29"/>
      <c r="E40" s="29"/>
      <c r="F40" s="29"/>
      <c r="G40" s="29"/>
      <c r="H40" s="29"/>
      <c r="I40" s="29"/>
      <c r="J40" s="29"/>
      <c r="K40" s="29"/>
      <c r="L40" s="29"/>
      <c r="R40" s="29"/>
      <c r="S40" s="29"/>
      <c r="T40" s="29"/>
      <c r="U40" s="29"/>
      <c r="W40" s="29"/>
      <c r="X40" s="29"/>
      <c r="Z40" s="29"/>
      <c r="AA40" s="29"/>
      <c r="AG40" s="19"/>
    </row>
    <row r="41" spans="1:33" s="7" customFormat="1" x14ac:dyDescent="0.2">
      <c r="A41" s="27"/>
      <c r="AG41" s="19"/>
    </row>
    <row r="42" spans="1:33" s="7" customFormat="1" x14ac:dyDescent="0.2">
      <c r="A42" s="27"/>
      <c r="AG42" s="19"/>
    </row>
    <row r="43" spans="1:33" s="7" customFormat="1" x14ac:dyDescent="0.2">
      <c r="A43" s="27"/>
      <c r="B43" s="30"/>
      <c r="AG43" s="19"/>
    </row>
    <row r="44" spans="1:33" s="7" customFormat="1" x14ac:dyDescent="0.2">
      <c r="A44" s="27"/>
      <c r="AG44" s="19"/>
    </row>
    <row r="45" spans="1:33" s="7" customFormat="1" x14ac:dyDescent="0.2">
      <c r="A45" s="27"/>
      <c r="AG45" s="19"/>
    </row>
    <row r="46" spans="1:33" s="7" customFormat="1" x14ac:dyDescent="0.2">
      <c r="A46" s="27"/>
      <c r="AG46" s="19"/>
    </row>
    <row r="47" spans="1:33" s="7" customFormat="1" x14ac:dyDescent="0.2">
      <c r="A47" s="27"/>
      <c r="AG47" s="19"/>
    </row>
    <row r="48" spans="1:33" s="7" customFormat="1" x14ac:dyDescent="0.2">
      <c r="A48" s="27"/>
      <c r="AG48" s="19"/>
    </row>
    <row r="49" spans="1:33" s="7" customFormat="1" x14ac:dyDescent="0.2">
      <c r="A49" s="27"/>
      <c r="AG49" s="19"/>
    </row>
    <row r="50" spans="1:33" s="7" customFormat="1" x14ac:dyDescent="0.2">
      <c r="A50" s="27"/>
      <c r="AG50" s="19"/>
    </row>
    <row r="51" spans="1:33" s="7" customFormat="1" x14ac:dyDescent="0.2">
      <c r="A51" s="27"/>
      <c r="AG51" s="19"/>
    </row>
    <row r="52" spans="1:33" s="7" customFormat="1" x14ac:dyDescent="0.2">
      <c r="A52" s="27"/>
      <c r="AG52" s="19"/>
    </row>
    <row r="53" spans="1:33" s="7" customFormat="1" x14ac:dyDescent="0.2">
      <c r="A53" s="27"/>
      <c r="AG53" s="19"/>
    </row>
    <row r="54" spans="1:33" s="7" customFormat="1" ht="12.75" x14ac:dyDescent="0.2">
      <c r="A54" s="27"/>
      <c r="S54" s="29"/>
      <c r="T54" s="29"/>
      <c r="U54" s="29"/>
      <c r="AG54" s="19"/>
    </row>
    <row r="55" spans="1:33" s="7" customFormat="1" x14ac:dyDescent="0.2">
      <c r="A55" s="27"/>
      <c r="AG55" s="19"/>
    </row>
    <row r="56" spans="1:33" s="7" customFormat="1" x14ac:dyDescent="0.2">
      <c r="A56" s="27"/>
      <c r="AG56" s="19"/>
    </row>
    <row r="57" spans="1:33" s="7" customFormat="1" x14ac:dyDescent="0.2">
      <c r="A57" s="27"/>
      <c r="B57" s="30"/>
      <c r="AG57" s="19"/>
    </row>
    <row r="58" spans="1:33" s="7" customFormat="1" x14ac:dyDescent="0.2">
      <c r="A58" s="27"/>
      <c r="AG58" s="19"/>
    </row>
    <row r="59" spans="1:33" s="7" customFormat="1" x14ac:dyDescent="0.2">
      <c r="A59" s="27"/>
      <c r="AG59" s="19"/>
    </row>
    <row r="60" spans="1:33" s="7" customFormat="1" x14ac:dyDescent="0.2">
      <c r="A60" s="27"/>
      <c r="AG60" s="19"/>
    </row>
    <row r="61" spans="1:33" s="7" customFormat="1" ht="12.75" x14ac:dyDescent="0.2">
      <c r="A61" s="27"/>
      <c r="B61" s="42"/>
      <c r="C61" s="29"/>
      <c r="D61" s="29"/>
      <c r="E61" s="29"/>
      <c r="F61" s="29"/>
      <c r="G61" s="30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19"/>
    </row>
    <row r="62" spans="1:33" s="7" customFormat="1" ht="12.75" x14ac:dyDescent="0.2">
      <c r="A62" s="27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19"/>
    </row>
    <row r="63" spans="1:33" s="7" customFormat="1" ht="12.75" x14ac:dyDescent="0.2">
      <c r="A63" s="117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118"/>
      <c r="T63" s="118"/>
      <c r="U63" s="118"/>
      <c r="V63" s="118"/>
      <c r="W63" s="118"/>
      <c r="X63" s="118"/>
      <c r="Y63" s="118"/>
      <c r="Z63" s="118"/>
      <c r="AA63" s="118"/>
      <c r="AB63" s="118"/>
      <c r="AC63" s="118"/>
      <c r="AD63" s="118"/>
      <c r="AE63" s="118"/>
      <c r="AF63" s="118"/>
      <c r="AG63" s="119"/>
    </row>
  </sheetData>
  <sheetProtection algorithmName="SHA-512" hashValue="f0b648G3sIbL89kJ3oWINSlkiUxHQNoMvPxSPtHiILEe/fUYFuNozXayMqoWqsikmcwOasl1oxDPk4kZOf9CCQ==" saltValue="LPVCEjmnPtmPYcskk4KpKQ==" spinCount="100000" sheet="1" objects="1" scenarios="1"/>
  <mergeCells count="63">
    <mergeCell ref="B26:E27"/>
    <mergeCell ref="F26:O27"/>
    <mergeCell ref="P26:S27"/>
    <mergeCell ref="T26:AF27"/>
    <mergeCell ref="A63:AG63"/>
    <mergeCell ref="B22:E23"/>
    <mergeCell ref="F22:O23"/>
    <mergeCell ref="P22:S23"/>
    <mergeCell ref="T22:AF23"/>
    <mergeCell ref="B24:E25"/>
    <mergeCell ref="F24:O25"/>
    <mergeCell ref="P24:S25"/>
    <mergeCell ref="T24:AF25"/>
    <mergeCell ref="B18:E19"/>
    <mergeCell ref="F18:O19"/>
    <mergeCell ref="P18:S19"/>
    <mergeCell ref="T18:AF19"/>
    <mergeCell ref="B20:E21"/>
    <mergeCell ref="F20:O21"/>
    <mergeCell ref="P20:S21"/>
    <mergeCell ref="T20:AF21"/>
    <mergeCell ref="B13:E14"/>
    <mergeCell ref="F13:O14"/>
    <mergeCell ref="P13:S14"/>
    <mergeCell ref="T13:AF14"/>
    <mergeCell ref="B15:E17"/>
    <mergeCell ref="F15:O17"/>
    <mergeCell ref="P15:S17"/>
    <mergeCell ref="T15:AF17"/>
    <mergeCell ref="B9:E9"/>
    <mergeCell ref="F9:O9"/>
    <mergeCell ref="P9:S9"/>
    <mergeCell ref="T9:AF9"/>
    <mergeCell ref="B10:E12"/>
    <mergeCell ref="F10:O12"/>
    <mergeCell ref="P10:S12"/>
    <mergeCell ref="T10:AF12"/>
    <mergeCell ref="B4:E4"/>
    <mergeCell ref="G4:R4"/>
    <mergeCell ref="S4:Y4"/>
    <mergeCell ref="Z4:AC4"/>
    <mergeCell ref="AD4:AG4"/>
    <mergeCell ref="B8:E8"/>
    <mergeCell ref="F8:O8"/>
    <mergeCell ref="P8:S8"/>
    <mergeCell ref="T8:AF8"/>
    <mergeCell ref="AD2:AG2"/>
    <mergeCell ref="B3:E3"/>
    <mergeCell ref="G3:R3"/>
    <mergeCell ref="S3:U3"/>
    <mergeCell ref="W3:Y3"/>
    <mergeCell ref="Z3:AC3"/>
    <mergeCell ref="AD3:AG3"/>
    <mergeCell ref="B2:E2"/>
    <mergeCell ref="G2:R2"/>
    <mergeCell ref="S2:U2"/>
    <mergeCell ref="W2:Y2"/>
    <mergeCell ref="Z2:AC2"/>
    <mergeCell ref="B1:E1"/>
    <mergeCell ref="G1:R1"/>
    <mergeCell ref="S1:U1"/>
    <mergeCell ref="W1:Y1"/>
    <mergeCell ref="Z1:AG1"/>
  </mergeCells>
  <printOptions horizontalCentered="1"/>
  <pageMargins left="0.51181102362204722" right="0.51181102362204722" top="0.55118110236220474" bottom="0.55118110236220474" header="0.31496062992125984" footer="0.31496062992125984"/>
  <pageSetup paperSize="9" fitToHeight="0" orientation="portrait" useFirstPageNumber="1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Readings"/>
  <dimension ref="A1:BU54"/>
  <sheetViews>
    <sheetView showGridLines="0" tabSelected="1" topLeftCell="A3" zoomScaleNormal="100" zoomScaleSheetLayoutView="100" workbookViewId="0">
      <selection activeCell="AN19" sqref="AN19"/>
    </sheetView>
  </sheetViews>
  <sheetFormatPr defaultColWidth="2.7109375" defaultRowHeight="10.5" x14ac:dyDescent="0.2"/>
  <cols>
    <col min="1" max="1" width="1.7109375" style="10" customWidth="1"/>
    <col min="2" max="9" width="2.7109375" style="10"/>
    <col min="10" max="10" width="3.140625" style="10" bestFit="1" customWidth="1"/>
    <col min="11" max="13" width="2.7109375" style="10"/>
    <col min="14" max="17" width="2.7109375" style="10" customWidth="1"/>
    <col min="18" max="20" width="2.7109375" style="10"/>
    <col min="21" max="21" width="3.140625" style="10" bestFit="1" customWidth="1"/>
    <col min="22" max="16384" width="2.7109375" style="10"/>
  </cols>
  <sheetData>
    <row r="1" spans="1:73" ht="15" customHeight="1" x14ac:dyDescent="0.2">
      <c r="A1" s="8"/>
      <c r="B1" s="67" t="s">
        <v>3</v>
      </c>
      <c r="C1" s="67"/>
      <c r="D1" s="67"/>
      <c r="E1" s="67"/>
      <c r="F1" s="9" t="s">
        <v>0</v>
      </c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69" t="s">
        <v>2</v>
      </c>
      <c r="U1" s="67"/>
      <c r="V1" s="67"/>
      <c r="W1" s="9" t="s">
        <v>0</v>
      </c>
      <c r="X1" s="145" t="s">
        <v>9</v>
      </c>
      <c r="Y1" s="145"/>
      <c r="Z1" s="145"/>
      <c r="AA1" s="146"/>
      <c r="AB1" s="72" t="s">
        <v>1</v>
      </c>
      <c r="AC1" s="72"/>
      <c r="AD1" s="72"/>
      <c r="AE1" s="72"/>
      <c r="AF1" s="72"/>
      <c r="AG1" s="72"/>
      <c r="AH1" s="72"/>
      <c r="AI1" s="72"/>
      <c r="AJ1" s="72"/>
    </row>
    <row r="2" spans="1:73" ht="15" customHeight="1" thickBot="1" x14ac:dyDescent="0.25">
      <c r="A2" s="8"/>
      <c r="B2" s="67" t="s">
        <v>4</v>
      </c>
      <c r="C2" s="67"/>
      <c r="D2" s="67"/>
      <c r="E2" s="67"/>
      <c r="F2" s="9" t="s">
        <v>0</v>
      </c>
      <c r="G2" s="143" t="s">
        <v>24</v>
      </c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69" t="s">
        <v>7</v>
      </c>
      <c r="U2" s="67"/>
      <c r="V2" s="67"/>
      <c r="W2" s="9" t="s">
        <v>0</v>
      </c>
      <c r="X2" s="145"/>
      <c r="Y2" s="145"/>
      <c r="Z2" s="145"/>
      <c r="AA2" s="146"/>
      <c r="AB2" s="80" t="s">
        <v>10</v>
      </c>
      <c r="AC2" s="80"/>
      <c r="AD2" s="80"/>
      <c r="AE2" s="80"/>
      <c r="AF2" s="142" t="s">
        <v>13</v>
      </c>
      <c r="AG2" s="142"/>
      <c r="AH2" s="142"/>
      <c r="AI2" s="142"/>
      <c r="AJ2" s="142"/>
      <c r="AP2" s="58" t="s">
        <v>23</v>
      </c>
      <c r="AQ2" s="56"/>
      <c r="AR2" s="56"/>
      <c r="AS2" s="57"/>
    </row>
    <row r="3" spans="1:73" ht="15" customHeight="1" x14ac:dyDescent="0.2">
      <c r="A3" s="8"/>
      <c r="B3" s="67" t="s">
        <v>5</v>
      </c>
      <c r="C3" s="67"/>
      <c r="D3" s="67"/>
      <c r="E3" s="67"/>
      <c r="F3" s="9" t="s">
        <v>0</v>
      </c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69" t="s">
        <v>8</v>
      </c>
      <c r="U3" s="67"/>
      <c r="V3" s="67"/>
      <c r="W3" s="9" t="s">
        <v>0</v>
      </c>
      <c r="X3" s="145"/>
      <c r="Y3" s="145"/>
      <c r="Z3" s="145"/>
      <c r="AA3" s="146"/>
      <c r="AB3" s="80" t="s">
        <v>11</v>
      </c>
      <c r="AC3" s="80"/>
      <c r="AD3" s="80"/>
      <c r="AE3" s="80"/>
      <c r="AF3" s="142" t="s">
        <v>16</v>
      </c>
      <c r="AG3" s="142"/>
      <c r="AH3" s="142"/>
      <c r="AI3" s="142"/>
      <c r="AJ3" s="142"/>
    </row>
    <row r="4" spans="1:73" ht="15" customHeight="1" x14ac:dyDescent="0.2">
      <c r="A4" s="8"/>
      <c r="B4" s="67" t="s">
        <v>6</v>
      </c>
      <c r="C4" s="67"/>
      <c r="D4" s="67"/>
      <c r="E4" s="67"/>
      <c r="F4" s="9" t="s">
        <v>0</v>
      </c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52" t="str">
        <f>'Version History'!S4</f>
        <v>Droop Measurements v1.1</v>
      </c>
      <c r="U4" s="153"/>
      <c r="V4" s="153"/>
      <c r="W4" s="153"/>
      <c r="X4" s="153"/>
      <c r="Y4" s="153"/>
      <c r="Z4" s="153"/>
      <c r="AA4" s="154"/>
      <c r="AB4" s="86" t="s">
        <v>12</v>
      </c>
      <c r="AC4" s="86"/>
      <c r="AD4" s="86"/>
      <c r="AE4" s="86"/>
      <c r="AF4" s="87">
        <f ca="1">TODAY()</f>
        <v>45748</v>
      </c>
      <c r="AG4" s="87"/>
      <c r="AH4" s="87"/>
      <c r="AI4" s="87"/>
      <c r="AJ4" s="87"/>
      <c r="AX4" s="11"/>
      <c r="AY4" s="12"/>
      <c r="AZ4" s="12"/>
    </row>
    <row r="5" spans="1:73" ht="15" customHeight="1" x14ac:dyDescent="0.2">
      <c r="A5" s="13"/>
      <c r="B5" s="1"/>
      <c r="C5" s="5"/>
      <c r="D5" s="5"/>
      <c r="E5" s="1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14"/>
      <c r="AC5" s="14"/>
      <c r="AD5" s="14"/>
      <c r="AE5" s="14"/>
      <c r="AF5" s="14"/>
      <c r="AG5" s="14"/>
      <c r="AH5" s="14"/>
      <c r="AI5" s="14"/>
      <c r="AJ5" s="15"/>
      <c r="AP5" s="49"/>
      <c r="AQ5" s="2"/>
      <c r="AR5" s="2"/>
      <c r="AS5" s="2"/>
      <c r="AT5" s="2"/>
      <c r="AU5" s="2"/>
      <c r="AV5" s="2"/>
      <c r="AW5" s="2"/>
      <c r="AX5" s="49"/>
      <c r="AY5" s="59"/>
      <c r="AZ5" s="59"/>
      <c r="BA5" s="59"/>
      <c r="BB5" s="59"/>
      <c r="BC5" s="59"/>
      <c r="BD5" s="2"/>
      <c r="BE5" s="2"/>
      <c r="BF5" s="2"/>
      <c r="BG5" s="2"/>
      <c r="BH5" s="2"/>
      <c r="BI5" s="2"/>
      <c r="BJ5" s="2"/>
      <c r="BK5" s="2"/>
      <c r="BL5" s="2"/>
      <c r="BM5" s="17"/>
      <c r="BN5" s="17"/>
      <c r="BO5" s="2"/>
      <c r="BP5" s="60"/>
      <c r="BQ5" s="60"/>
      <c r="BR5" s="60"/>
      <c r="BS5" s="61"/>
    </row>
    <row r="6" spans="1:73" ht="15" customHeight="1" x14ac:dyDescent="0.2">
      <c r="A6" s="16"/>
      <c r="B6" s="49" t="s">
        <v>25</v>
      </c>
      <c r="C6" s="2"/>
      <c r="D6" s="2"/>
      <c r="E6" s="3"/>
      <c r="F6" s="2"/>
      <c r="G6" s="2"/>
      <c r="H6" s="2"/>
      <c r="I6" s="2"/>
      <c r="J6" s="2"/>
      <c r="K6" s="2"/>
      <c r="L6" s="22"/>
      <c r="M6" s="22"/>
      <c r="N6" s="22"/>
      <c r="O6" s="22"/>
      <c r="P6" s="22"/>
      <c r="Q6" s="22"/>
      <c r="R6" s="22"/>
      <c r="S6" s="22"/>
      <c r="T6" s="2"/>
      <c r="U6" s="22"/>
      <c r="V6" s="22"/>
      <c r="W6" s="50" t="s">
        <v>26</v>
      </c>
      <c r="X6" s="22" t="s">
        <v>0</v>
      </c>
      <c r="Y6" s="155">
        <v>24</v>
      </c>
      <c r="Z6" s="156"/>
      <c r="AA6" s="156"/>
      <c r="AB6" s="156"/>
      <c r="AC6" s="157"/>
      <c r="AD6" s="22"/>
      <c r="AE6" s="22"/>
      <c r="AF6" s="22"/>
      <c r="AG6" s="22"/>
      <c r="AH6" s="22"/>
      <c r="AI6" s="17"/>
      <c r="AJ6" s="18"/>
      <c r="AP6" s="49"/>
      <c r="AQ6" s="2"/>
      <c r="AR6" s="2"/>
      <c r="AS6" s="2"/>
      <c r="AT6" s="2"/>
      <c r="AU6" s="2"/>
      <c r="AV6" s="2"/>
      <c r="AW6" s="2"/>
      <c r="AX6" s="49"/>
      <c r="AY6" s="59"/>
      <c r="AZ6" s="59"/>
      <c r="BA6" s="59"/>
      <c r="BB6" s="59"/>
      <c r="BC6" s="59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62"/>
      <c r="BQ6" s="62"/>
      <c r="BR6" s="62"/>
      <c r="BS6" s="61"/>
    </row>
    <row r="7" spans="1:73" ht="15" customHeight="1" x14ac:dyDescent="0.2">
      <c r="A7" s="16"/>
      <c r="B7" s="49" t="s">
        <v>27</v>
      </c>
      <c r="C7" s="2"/>
      <c r="D7" s="2"/>
      <c r="E7" s="3"/>
      <c r="F7" s="2"/>
      <c r="G7" s="2"/>
      <c r="H7" s="2"/>
      <c r="I7" s="2"/>
      <c r="J7" s="2"/>
      <c r="K7" s="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50" t="s">
        <v>28</v>
      </c>
      <c r="X7" s="22" t="s">
        <v>0</v>
      </c>
      <c r="Y7" s="158">
        <v>0</v>
      </c>
      <c r="Z7" s="159"/>
      <c r="AA7" s="159"/>
      <c r="AB7" s="159"/>
      <c r="AC7" s="160"/>
      <c r="AD7" s="22"/>
      <c r="AE7" s="22"/>
      <c r="AF7" s="22"/>
      <c r="AG7" s="22"/>
      <c r="AH7" s="22"/>
      <c r="AI7" s="17"/>
      <c r="AJ7" s="18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6"/>
      <c r="BQ7" s="6"/>
      <c r="BR7" s="6"/>
      <c r="BS7" s="61"/>
    </row>
    <row r="8" spans="1:73" ht="15" customHeight="1" x14ac:dyDescent="0.2">
      <c r="A8" s="16"/>
      <c r="B8" s="49" t="s">
        <v>29</v>
      </c>
      <c r="C8" s="2"/>
      <c r="D8" s="2"/>
      <c r="E8" s="3"/>
      <c r="F8" s="2"/>
      <c r="G8" s="2"/>
      <c r="H8" s="2"/>
      <c r="I8" s="2"/>
      <c r="J8" s="2"/>
      <c r="K8" s="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50" t="s">
        <v>30</v>
      </c>
      <c r="X8" s="22" t="s">
        <v>0</v>
      </c>
      <c r="Y8" s="161">
        <f>360/Nrb</f>
        <v>15</v>
      </c>
      <c r="Z8" s="162"/>
      <c r="AA8" s="162"/>
      <c r="AB8" s="162"/>
      <c r="AC8" s="163"/>
      <c r="AD8" s="22"/>
      <c r="AE8" s="22"/>
      <c r="AF8" s="22"/>
      <c r="AG8" s="22"/>
      <c r="AH8" s="22"/>
      <c r="AI8" s="17"/>
      <c r="AJ8" s="18"/>
      <c r="AP8" s="49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6"/>
      <c r="BQ8" s="6"/>
      <c r="BR8" s="6"/>
      <c r="BS8" s="61"/>
    </row>
    <row r="9" spans="1:73" ht="15" customHeight="1" x14ac:dyDescent="0.2">
      <c r="A9" s="16"/>
      <c r="B9" s="55" t="s">
        <v>33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50" t="s">
        <v>34</v>
      </c>
      <c r="X9" s="22" t="s">
        <v>0</v>
      </c>
      <c r="Y9" s="149">
        <v>1.5</v>
      </c>
      <c r="Z9" s="150"/>
      <c r="AA9" s="150"/>
      <c r="AB9" s="150"/>
      <c r="AC9" s="151"/>
      <c r="AD9" s="22"/>
      <c r="AE9" s="22"/>
      <c r="AF9" s="22"/>
      <c r="AG9" s="22"/>
      <c r="AH9" s="22"/>
      <c r="AI9" s="17"/>
      <c r="AJ9" s="18"/>
    </row>
    <row r="10" spans="1:73" ht="15" customHeight="1" x14ac:dyDescent="0.2">
      <c r="A10" s="16"/>
      <c r="B10" s="55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50"/>
      <c r="X10" s="22"/>
      <c r="Y10" s="63"/>
      <c r="Z10" s="63"/>
      <c r="AA10" s="63"/>
      <c r="AB10" s="63"/>
      <c r="AC10" s="63"/>
      <c r="AD10" s="22"/>
      <c r="AE10" s="22"/>
      <c r="AF10" s="22"/>
      <c r="AG10" s="22"/>
      <c r="AH10" s="22"/>
      <c r="AI10" s="17"/>
      <c r="AJ10" s="18"/>
    </row>
    <row r="11" spans="1:73" ht="15" customHeight="1" x14ac:dyDescent="0.2">
      <c r="A11" s="16"/>
      <c r="B11" s="45" t="s">
        <v>39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6"/>
      <c r="N11" s="44"/>
      <c r="O11" s="44"/>
      <c r="P11" s="2"/>
      <c r="Q11" s="2"/>
      <c r="R11" s="2"/>
      <c r="S11" s="2"/>
      <c r="T11" s="2"/>
      <c r="U11" s="45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18"/>
    </row>
    <row r="12" spans="1:73" ht="15" customHeight="1" x14ac:dyDescent="0.2">
      <c r="A12" s="16"/>
      <c r="B12" s="22"/>
      <c r="C12" s="22"/>
      <c r="D12" s="53"/>
      <c r="E12" s="54"/>
      <c r="F12" s="54"/>
      <c r="G12" s="129" t="s">
        <v>35</v>
      </c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30"/>
      <c r="AC12" s="130"/>
      <c r="AD12" s="130"/>
      <c r="AE12" s="130"/>
      <c r="AF12" s="130"/>
      <c r="AG12" s="130"/>
      <c r="AH12" s="130"/>
      <c r="AI12" s="130"/>
      <c r="AJ12" s="131"/>
      <c r="AK12" s="123" t="s">
        <v>37</v>
      </c>
      <c r="AL12" s="124"/>
      <c r="AM12" s="125"/>
      <c r="AR12" s="3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/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65"/>
    </row>
    <row r="13" spans="1:73" ht="15" customHeight="1" x14ac:dyDescent="0.2">
      <c r="A13" s="16"/>
      <c r="B13" s="22"/>
      <c r="C13" s="51"/>
      <c r="D13" s="167" t="s">
        <v>32</v>
      </c>
      <c r="E13" s="168"/>
      <c r="F13" s="168"/>
      <c r="G13" s="169">
        <f>RDroopZero</f>
        <v>1.5</v>
      </c>
      <c r="H13" s="170"/>
      <c r="I13" s="170"/>
      <c r="J13" s="147">
        <v>3.53</v>
      </c>
      <c r="K13" s="148"/>
      <c r="L13" s="148"/>
      <c r="M13" s="147">
        <v>5.81</v>
      </c>
      <c r="N13" s="148"/>
      <c r="O13" s="148"/>
      <c r="P13" s="147">
        <v>8.27</v>
      </c>
      <c r="Q13" s="148"/>
      <c r="R13" s="148"/>
      <c r="S13" s="147">
        <v>10.07</v>
      </c>
      <c r="T13" s="148"/>
      <c r="U13" s="148"/>
      <c r="V13" s="147">
        <v>12.49</v>
      </c>
      <c r="W13" s="148"/>
      <c r="X13" s="148"/>
      <c r="Y13" s="147">
        <v>14.8</v>
      </c>
      <c r="Z13" s="148"/>
      <c r="AA13" s="148"/>
      <c r="AB13" s="147">
        <v>17.18</v>
      </c>
      <c r="AC13" s="148"/>
      <c r="AD13" s="148"/>
      <c r="AE13" s="147">
        <v>19.5</v>
      </c>
      <c r="AF13" s="148"/>
      <c r="AG13" s="148"/>
      <c r="AH13" s="147"/>
      <c r="AI13" s="148"/>
      <c r="AJ13" s="148"/>
      <c r="AK13" s="126"/>
      <c r="AL13" s="127"/>
      <c r="AM13" s="128"/>
      <c r="AR13" s="66"/>
      <c r="AS13" s="61"/>
      <c r="AT13" s="61"/>
      <c r="AU13" s="66"/>
      <c r="AV13" s="61"/>
      <c r="AW13" s="61"/>
      <c r="AX13" s="66"/>
      <c r="AY13" s="61"/>
      <c r="AZ13" s="61"/>
      <c r="BA13" s="66"/>
      <c r="BB13" s="61"/>
      <c r="BC13" s="61"/>
      <c r="BD13" s="66"/>
      <c r="BE13" s="61"/>
      <c r="BF13" s="61"/>
      <c r="BG13" s="66"/>
      <c r="BH13" s="61"/>
      <c r="BI13" s="61"/>
      <c r="BJ13" s="66"/>
      <c r="BK13" s="61"/>
      <c r="BL13" s="61"/>
      <c r="BM13" s="66"/>
      <c r="BN13" s="61"/>
      <c r="BO13" s="61"/>
      <c r="BP13" s="66"/>
      <c r="BQ13" s="61"/>
      <c r="BR13" s="61"/>
      <c r="BS13" s="66"/>
      <c r="BT13" s="61"/>
      <c r="BU13" s="61"/>
    </row>
    <row r="14" spans="1:73" ht="15" customHeight="1" x14ac:dyDescent="0.2">
      <c r="A14" s="16"/>
      <c r="B14" s="164" t="s">
        <v>31</v>
      </c>
      <c r="C14" s="48">
        <v>1</v>
      </c>
      <c r="D14" s="120">
        <f>AlphaFirst</f>
        <v>0</v>
      </c>
      <c r="E14" s="121"/>
      <c r="F14" s="122"/>
      <c r="G14" s="132">
        <f>IF(D14="","",0)</f>
        <v>0</v>
      </c>
      <c r="H14" s="133"/>
      <c r="I14" s="134"/>
      <c r="J14" s="135">
        <v>7</v>
      </c>
      <c r="K14" s="136">
        <v>0</v>
      </c>
      <c r="L14" s="137">
        <v>0</v>
      </c>
      <c r="M14" s="135">
        <v>1</v>
      </c>
      <c r="N14" s="136">
        <v>0</v>
      </c>
      <c r="O14" s="137">
        <v>0</v>
      </c>
      <c r="P14" s="135">
        <v>-11</v>
      </c>
      <c r="Q14" s="136">
        <v>0</v>
      </c>
      <c r="R14" s="137">
        <v>0</v>
      </c>
      <c r="S14" s="135">
        <v>-11</v>
      </c>
      <c r="T14" s="136">
        <v>0</v>
      </c>
      <c r="U14" s="137">
        <v>0</v>
      </c>
      <c r="V14" s="135">
        <v>61</v>
      </c>
      <c r="W14" s="136">
        <v>0</v>
      </c>
      <c r="X14" s="137">
        <v>0</v>
      </c>
      <c r="Y14" s="135">
        <v>15</v>
      </c>
      <c r="Z14" s="136">
        <v>0</v>
      </c>
      <c r="AA14" s="137">
        <v>0</v>
      </c>
      <c r="AB14" s="135">
        <v>7</v>
      </c>
      <c r="AC14" s="136">
        <v>0</v>
      </c>
      <c r="AD14" s="137">
        <v>0</v>
      </c>
      <c r="AE14" s="135">
        <v>32</v>
      </c>
      <c r="AF14" s="136">
        <v>0</v>
      </c>
      <c r="AG14" s="137">
        <v>0</v>
      </c>
      <c r="AH14" s="135"/>
      <c r="AI14" s="136"/>
      <c r="AJ14" s="137"/>
      <c r="AK14" s="120">
        <f>IF(D14="","",D14+Theta/2)</f>
        <v>7.5</v>
      </c>
      <c r="AL14" s="121"/>
      <c r="AM14" s="122"/>
    </row>
    <row r="15" spans="1:73" ht="15" customHeight="1" x14ac:dyDescent="0.2">
      <c r="A15" s="16"/>
      <c r="B15" s="165"/>
      <c r="C15" s="48">
        <f t="shared" ref="C15:C52" si="0">IF(C14="","",IF(C14+1&lt;=Nrb,C14+1,""))</f>
        <v>2</v>
      </c>
      <c r="D15" s="120">
        <f>IF(C15="","",D14+Theta)</f>
        <v>15</v>
      </c>
      <c r="E15" s="121"/>
      <c r="F15" s="122"/>
      <c r="G15" s="132">
        <f t="shared" ref="G15:G50" si="1">IF(D15="","",0)</f>
        <v>0</v>
      </c>
      <c r="H15" s="133"/>
      <c r="I15" s="134"/>
      <c r="J15" s="135">
        <v>12</v>
      </c>
      <c r="K15" s="136">
        <v>0</v>
      </c>
      <c r="L15" s="137">
        <v>0</v>
      </c>
      <c r="M15" s="135">
        <v>21</v>
      </c>
      <c r="N15" s="136">
        <v>0</v>
      </c>
      <c r="O15" s="137">
        <v>0</v>
      </c>
      <c r="P15" s="135">
        <v>14</v>
      </c>
      <c r="Q15" s="136">
        <v>0</v>
      </c>
      <c r="R15" s="137">
        <v>0</v>
      </c>
      <c r="S15" s="135">
        <v>9</v>
      </c>
      <c r="T15" s="136">
        <v>0</v>
      </c>
      <c r="U15" s="137">
        <v>0</v>
      </c>
      <c r="V15" s="135">
        <v>26</v>
      </c>
      <c r="W15" s="136">
        <v>0</v>
      </c>
      <c r="X15" s="137">
        <v>0</v>
      </c>
      <c r="Y15" s="135">
        <v>55</v>
      </c>
      <c r="Z15" s="136">
        <v>0</v>
      </c>
      <c r="AA15" s="137">
        <v>0</v>
      </c>
      <c r="AB15" s="135">
        <v>22</v>
      </c>
      <c r="AC15" s="136">
        <v>0</v>
      </c>
      <c r="AD15" s="137">
        <v>0</v>
      </c>
      <c r="AE15" s="135">
        <v>2</v>
      </c>
      <c r="AF15" s="136">
        <v>0</v>
      </c>
      <c r="AG15" s="137">
        <v>0</v>
      </c>
      <c r="AH15" s="135"/>
      <c r="AI15" s="136"/>
      <c r="AJ15" s="137"/>
      <c r="AK15" s="120">
        <f t="shared" ref="AK15:AK52" si="2">IF(C15="","",AK14+Theta)</f>
        <v>22.5</v>
      </c>
      <c r="AL15" s="121"/>
      <c r="AM15" s="122"/>
    </row>
    <row r="16" spans="1:73" ht="15" customHeight="1" x14ac:dyDescent="0.2">
      <c r="A16" s="16"/>
      <c r="B16" s="165"/>
      <c r="C16" s="48">
        <f t="shared" si="0"/>
        <v>3</v>
      </c>
      <c r="D16" s="120">
        <f t="shared" ref="D16:D52" si="3">IF(C16="","",D15+Theta)</f>
        <v>30</v>
      </c>
      <c r="E16" s="121"/>
      <c r="F16" s="122"/>
      <c r="G16" s="132">
        <f t="shared" si="1"/>
        <v>0</v>
      </c>
      <c r="H16" s="133"/>
      <c r="I16" s="134"/>
      <c r="J16" s="135">
        <v>12</v>
      </c>
      <c r="K16" s="136">
        <v>0</v>
      </c>
      <c r="L16" s="137">
        <v>0</v>
      </c>
      <c r="M16" s="135">
        <v>31</v>
      </c>
      <c r="N16" s="136">
        <v>0</v>
      </c>
      <c r="O16" s="137">
        <v>0</v>
      </c>
      <c r="P16" s="135">
        <v>24</v>
      </c>
      <c r="Q16" s="136">
        <v>0</v>
      </c>
      <c r="R16" s="137">
        <v>0</v>
      </c>
      <c r="S16" s="135">
        <v>-36</v>
      </c>
      <c r="T16" s="136">
        <v>0</v>
      </c>
      <c r="U16" s="137">
        <v>0</v>
      </c>
      <c r="V16" s="135">
        <v>31</v>
      </c>
      <c r="W16" s="136">
        <v>0</v>
      </c>
      <c r="X16" s="137">
        <v>0</v>
      </c>
      <c r="Y16" s="135">
        <v>65</v>
      </c>
      <c r="Z16" s="136">
        <v>0</v>
      </c>
      <c r="AA16" s="137">
        <v>0</v>
      </c>
      <c r="AB16" s="135">
        <v>-8</v>
      </c>
      <c r="AC16" s="136">
        <v>0</v>
      </c>
      <c r="AD16" s="137">
        <v>0</v>
      </c>
      <c r="AE16" s="135">
        <v>-8</v>
      </c>
      <c r="AF16" s="136">
        <v>0</v>
      </c>
      <c r="AG16" s="137">
        <v>0</v>
      </c>
      <c r="AH16" s="135"/>
      <c r="AI16" s="136"/>
      <c r="AJ16" s="137"/>
      <c r="AK16" s="120">
        <f t="shared" si="2"/>
        <v>37.5</v>
      </c>
      <c r="AL16" s="121"/>
      <c r="AM16" s="122"/>
    </row>
    <row r="17" spans="1:39" ht="15" customHeight="1" x14ac:dyDescent="0.2">
      <c r="A17" s="16"/>
      <c r="B17" s="165"/>
      <c r="C17" s="48">
        <f t="shared" si="0"/>
        <v>4</v>
      </c>
      <c r="D17" s="120">
        <f t="shared" si="3"/>
        <v>45</v>
      </c>
      <c r="E17" s="121"/>
      <c r="F17" s="122"/>
      <c r="G17" s="132">
        <f t="shared" si="1"/>
        <v>0</v>
      </c>
      <c r="H17" s="133"/>
      <c r="I17" s="134"/>
      <c r="J17" s="135">
        <v>22</v>
      </c>
      <c r="K17" s="136">
        <v>0</v>
      </c>
      <c r="L17" s="137">
        <v>0</v>
      </c>
      <c r="M17" s="135">
        <v>11</v>
      </c>
      <c r="N17" s="136">
        <v>0</v>
      </c>
      <c r="O17" s="137">
        <v>0</v>
      </c>
      <c r="P17" s="135">
        <v>4</v>
      </c>
      <c r="Q17" s="136">
        <v>0</v>
      </c>
      <c r="R17" s="137">
        <v>0</v>
      </c>
      <c r="S17" s="135">
        <v>9</v>
      </c>
      <c r="T17" s="136">
        <v>0</v>
      </c>
      <c r="U17" s="137">
        <v>0</v>
      </c>
      <c r="V17" s="135">
        <v>6</v>
      </c>
      <c r="W17" s="136">
        <v>0</v>
      </c>
      <c r="X17" s="137">
        <v>0</v>
      </c>
      <c r="Y17" s="135">
        <v>15</v>
      </c>
      <c r="Z17" s="136">
        <v>0</v>
      </c>
      <c r="AA17" s="137">
        <v>0</v>
      </c>
      <c r="AB17" s="135">
        <v>-8</v>
      </c>
      <c r="AC17" s="136">
        <v>0</v>
      </c>
      <c r="AD17" s="137">
        <v>0</v>
      </c>
      <c r="AE17" s="135">
        <v>-8</v>
      </c>
      <c r="AF17" s="136">
        <v>0</v>
      </c>
      <c r="AG17" s="137">
        <v>0</v>
      </c>
      <c r="AH17" s="135"/>
      <c r="AI17" s="136"/>
      <c r="AJ17" s="137"/>
      <c r="AK17" s="120">
        <f t="shared" si="2"/>
        <v>52.5</v>
      </c>
      <c r="AL17" s="121"/>
      <c r="AM17" s="122"/>
    </row>
    <row r="18" spans="1:39" ht="15" customHeight="1" x14ac:dyDescent="0.2">
      <c r="A18" s="16"/>
      <c r="B18" s="165"/>
      <c r="C18" s="48">
        <f t="shared" si="0"/>
        <v>5</v>
      </c>
      <c r="D18" s="120">
        <f t="shared" si="3"/>
        <v>60</v>
      </c>
      <c r="E18" s="121"/>
      <c r="F18" s="122"/>
      <c r="G18" s="132">
        <f t="shared" si="1"/>
        <v>0</v>
      </c>
      <c r="H18" s="133"/>
      <c r="I18" s="134"/>
      <c r="J18" s="135">
        <v>22</v>
      </c>
      <c r="K18" s="136">
        <v>0</v>
      </c>
      <c r="L18" s="137">
        <v>0</v>
      </c>
      <c r="M18" s="135">
        <v>21</v>
      </c>
      <c r="N18" s="136">
        <v>0</v>
      </c>
      <c r="O18" s="137">
        <v>0</v>
      </c>
      <c r="P18" s="135">
        <v>24</v>
      </c>
      <c r="Q18" s="136">
        <v>0</v>
      </c>
      <c r="R18" s="137">
        <v>0</v>
      </c>
      <c r="S18" s="135">
        <v>14</v>
      </c>
      <c r="T18" s="136">
        <v>0</v>
      </c>
      <c r="U18" s="137">
        <v>0</v>
      </c>
      <c r="V18" s="135">
        <v>26</v>
      </c>
      <c r="W18" s="136">
        <v>0</v>
      </c>
      <c r="X18" s="137">
        <v>0</v>
      </c>
      <c r="Y18" s="135">
        <v>15</v>
      </c>
      <c r="Z18" s="136">
        <v>0</v>
      </c>
      <c r="AA18" s="137">
        <v>0</v>
      </c>
      <c r="AB18" s="135">
        <v>7</v>
      </c>
      <c r="AC18" s="136">
        <v>0</v>
      </c>
      <c r="AD18" s="137">
        <v>0</v>
      </c>
      <c r="AE18" s="135">
        <v>2</v>
      </c>
      <c r="AF18" s="136">
        <v>0</v>
      </c>
      <c r="AG18" s="137">
        <v>0</v>
      </c>
      <c r="AH18" s="135"/>
      <c r="AI18" s="136"/>
      <c r="AJ18" s="137"/>
      <c r="AK18" s="120">
        <f t="shared" si="2"/>
        <v>67.5</v>
      </c>
      <c r="AL18" s="121"/>
      <c r="AM18" s="122"/>
    </row>
    <row r="19" spans="1:39" ht="15" customHeight="1" x14ac:dyDescent="0.2">
      <c r="A19" s="16"/>
      <c r="B19" s="165"/>
      <c r="C19" s="48">
        <f t="shared" si="0"/>
        <v>6</v>
      </c>
      <c r="D19" s="120">
        <f t="shared" si="3"/>
        <v>75</v>
      </c>
      <c r="E19" s="121"/>
      <c r="F19" s="122"/>
      <c r="G19" s="132">
        <f t="shared" si="1"/>
        <v>0</v>
      </c>
      <c r="H19" s="133"/>
      <c r="I19" s="134"/>
      <c r="J19" s="135">
        <v>17</v>
      </c>
      <c r="K19" s="136">
        <v>0</v>
      </c>
      <c r="L19" s="137">
        <v>0</v>
      </c>
      <c r="M19" s="135">
        <v>11</v>
      </c>
      <c r="N19" s="136">
        <v>0</v>
      </c>
      <c r="O19" s="137">
        <v>0</v>
      </c>
      <c r="P19" s="135">
        <v>-16</v>
      </c>
      <c r="Q19" s="136">
        <v>0</v>
      </c>
      <c r="R19" s="137">
        <v>0</v>
      </c>
      <c r="S19" s="135">
        <v>4</v>
      </c>
      <c r="T19" s="136">
        <v>0</v>
      </c>
      <c r="U19" s="137">
        <v>0</v>
      </c>
      <c r="V19" s="135">
        <v>6</v>
      </c>
      <c r="W19" s="136">
        <v>0</v>
      </c>
      <c r="X19" s="137">
        <v>0</v>
      </c>
      <c r="Y19" s="135">
        <v>25</v>
      </c>
      <c r="Z19" s="136">
        <v>0</v>
      </c>
      <c r="AA19" s="137">
        <v>0</v>
      </c>
      <c r="AB19" s="135">
        <v>17</v>
      </c>
      <c r="AC19" s="136">
        <v>0</v>
      </c>
      <c r="AD19" s="137">
        <v>0</v>
      </c>
      <c r="AE19" s="135">
        <v>-3</v>
      </c>
      <c r="AF19" s="136">
        <v>0</v>
      </c>
      <c r="AG19" s="137">
        <v>0</v>
      </c>
      <c r="AH19" s="135"/>
      <c r="AI19" s="136"/>
      <c r="AJ19" s="137"/>
      <c r="AK19" s="120">
        <f t="shared" si="2"/>
        <v>82.5</v>
      </c>
      <c r="AL19" s="121"/>
      <c r="AM19" s="122"/>
    </row>
    <row r="20" spans="1:39" ht="15" customHeight="1" x14ac:dyDescent="0.2">
      <c r="A20" s="16"/>
      <c r="B20" s="165"/>
      <c r="C20" s="48">
        <f t="shared" si="0"/>
        <v>7</v>
      </c>
      <c r="D20" s="120">
        <f t="shared" si="3"/>
        <v>90</v>
      </c>
      <c r="E20" s="121"/>
      <c r="F20" s="122"/>
      <c r="G20" s="132">
        <f t="shared" si="1"/>
        <v>0</v>
      </c>
      <c r="H20" s="133"/>
      <c r="I20" s="134"/>
      <c r="J20" s="135">
        <v>22</v>
      </c>
      <c r="K20" s="136">
        <v>0</v>
      </c>
      <c r="L20" s="137">
        <v>0</v>
      </c>
      <c r="M20" s="135">
        <v>11</v>
      </c>
      <c r="N20" s="136">
        <v>0</v>
      </c>
      <c r="O20" s="137">
        <v>0</v>
      </c>
      <c r="P20" s="135">
        <v>4</v>
      </c>
      <c r="Q20" s="136">
        <v>0</v>
      </c>
      <c r="R20" s="137">
        <v>0</v>
      </c>
      <c r="S20" s="135">
        <v>74</v>
      </c>
      <c r="T20" s="136">
        <v>0</v>
      </c>
      <c r="U20" s="137">
        <v>0</v>
      </c>
      <c r="V20" s="135">
        <v>76</v>
      </c>
      <c r="W20" s="136">
        <v>0</v>
      </c>
      <c r="X20" s="137">
        <v>0</v>
      </c>
      <c r="Y20" s="135">
        <v>35</v>
      </c>
      <c r="Z20" s="136">
        <v>0</v>
      </c>
      <c r="AA20" s="137">
        <v>0</v>
      </c>
      <c r="AB20" s="135">
        <v>-3</v>
      </c>
      <c r="AC20" s="136">
        <v>0</v>
      </c>
      <c r="AD20" s="137">
        <v>0</v>
      </c>
      <c r="AE20" s="135">
        <v>2</v>
      </c>
      <c r="AF20" s="136">
        <v>0</v>
      </c>
      <c r="AG20" s="137">
        <v>0</v>
      </c>
      <c r="AH20" s="135"/>
      <c r="AI20" s="136"/>
      <c r="AJ20" s="137"/>
      <c r="AK20" s="120">
        <f t="shared" si="2"/>
        <v>97.5</v>
      </c>
      <c r="AL20" s="121"/>
      <c r="AM20" s="122"/>
    </row>
    <row r="21" spans="1:39" ht="15" customHeight="1" x14ac:dyDescent="0.2">
      <c r="A21" s="16"/>
      <c r="B21" s="165"/>
      <c r="C21" s="48">
        <f t="shared" si="0"/>
        <v>8</v>
      </c>
      <c r="D21" s="120">
        <f t="shared" si="3"/>
        <v>105</v>
      </c>
      <c r="E21" s="121"/>
      <c r="F21" s="122"/>
      <c r="G21" s="132">
        <f t="shared" si="1"/>
        <v>0</v>
      </c>
      <c r="H21" s="133"/>
      <c r="I21" s="134"/>
      <c r="J21" s="135">
        <v>22</v>
      </c>
      <c r="K21" s="136">
        <v>0</v>
      </c>
      <c r="L21" s="137">
        <v>0</v>
      </c>
      <c r="M21" s="135">
        <v>11</v>
      </c>
      <c r="N21" s="136">
        <v>0</v>
      </c>
      <c r="O21" s="137">
        <v>0</v>
      </c>
      <c r="P21" s="135">
        <v>14</v>
      </c>
      <c r="Q21" s="136">
        <v>0</v>
      </c>
      <c r="R21" s="137">
        <v>0</v>
      </c>
      <c r="S21" s="135">
        <v>-11</v>
      </c>
      <c r="T21" s="136">
        <v>0</v>
      </c>
      <c r="U21" s="137">
        <v>0</v>
      </c>
      <c r="V21" s="135">
        <v>-19</v>
      </c>
      <c r="W21" s="136">
        <v>0</v>
      </c>
      <c r="X21" s="137">
        <v>0</v>
      </c>
      <c r="Y21" s="135">
        <v>125</v>
      </c>
      <c r="Z21" s="136">
        <v>0</v>
      </c>
      <c r="AA21" s="137">
        <v>0</v>
      </c>
      <c r="AB21" s="135">
        <v>-13</v>
      </c>
      <c r="AC21" s="136">
        <v>0</v>
      </c>
      <c r="AD21" s="137">
        <v>0</v>
      </c>
      <c r="AE21" s="135">
        <v>17</v>
      </c>
      <c r="AF21" s="136">
        <v>0</v>
      </c>
      <c r="AG21" s="137">
        <v>0</v>
      </c>
      <c r="AH21" s="135"/>
      <c r="AI21" s="136"/>
      <c r="AJ21" s="137"/>
      <c r="AK21" s="120">
        <f t="shared" si="2"/>
        <v>112.5</v>
      </c>
      <c r="AL21" s="121"/>
      <c r="AM21" s="122"/>
    </row>
    <row r="22" spans="1:39" ht="15" customHeight="1" x14ac:dyDescent="0.2">
      <c r="A22" s="16"/>
      <c r="B22" s="165"/>
      <c r="C22" s="48">
        <f t="shared" si="0"/>
        <v>9</v>
      </c>
      <c r="D22" s="120">
        <f t="shared" si="3"/>
        <v>120</v>
      </c>
      <c r="E22" s="121"/>
      <c r="F22" s="122"/>
      <c r="G22" s="132">
        <f t="shared" si="1"/>
        <v>0</v>
      </c>
      <c r="H22" s="133"/>
      <c r="I22" s="134"/>
      <c r="J22" s="135">
        <v>22</v>
      </c>
      <c r="K22" s="136">
        <v>0</v>
      </c>
      <c r="L22" s="137">
        <v>0</v>
      </c>
      <c r="M22" s="135">
        <v>36</v>
      </c>
      <c r="N22" s="136">
        <v>0</v>
      </c>
      <c r="O22" s="137">
        <v>0</v>
      </c>
      <c r="P22" s="135">
        <v>-6</v>
      </c>
      <c r="Q22" s="136">
        <v>0</v>
      </c>
      <c r="R22" s="137">
        <v>0</v>
      </c>
      <c r="S22" s="135">
        <v>-71</v>
      </c>
      <c r="T22" s="136">
        <v>0</v>
      </c>
      <c r="U22" s="137">
        <v>0</v>
      </c>
      <c r="V22" s="135">
        <v>-57</v>
      </c>
      <c r="W22" s="136">
        <v>0</v>
      </c>
      <c r="X22" s="137">
        <v>0</v>
      </c>
      <c r="Y22" s="135">
        <v>-20</v>
      </c>
      <c r="Z22" s="136">
        <v>0</v>
      </c>
      <c r="AA22" s="137">
        <v>0</v>
      </c>
      <c r="AB22" s="135">
        <v>-23</v>
      </c>
      <c r="AC22" s="136">
        <v>0</v>
      </c>
      <c r="AD22" s="137">
        <v>0</v>
      </c>
      <c r="AE22" s="135">
        <v>12</v>
      </c>
      <c r="AF22" s="136">
        <v>0</v>
      </c>
      <c r="AG22" s="137">
        <v>0</v>
      </c>
      <c r="AH22" s="135"/>
      <c r="AI22" s="136"/>
      <c r="AJ22" s="137"/>
      <c r="AK22" s="120">
        <f t="shared" si="2"/>
        <v>127.5</v>
      </c>
      <c r="AL22" s="121"/>
      <c r="AM22" s="122"/>
    </row>
    <row r="23" spans="1:39" ht="15" customHeight="1" x14ac:dyDescent="0.2">
      <c r="A23" s="16"/>
      <c r="B23" s="165"/>
      <c r="C23" s="48">
        <f t="shared" si="0"/>
        <v>10</v>
      </c>
      <c r="D23" s="120">
        <f t="shared" si="3"/>
        <v>135</v>
      </c>
      <c r="E23" s="121"/>
      <c r="F23" s="122"/>
      <c r="G23" s="132">
        <f t="shared" si="1"/>
        <v>0</v>
      </c>
      <c r="H23" s="133"/>
      <c r="I23" s="134"/>
      <c r="J23" s="135">
        <v>22</v>
      </c>
      <c r="K23" s="136">
        <v>0</v>
      </c>
      <c r="L23" s="137">
        <v>0</v>
      </c>
      <c r="M23" s="135">
        <v>11</v>
      </c>
      <c r="N23" s="136">
        <v>0</v>
      </c>
      <c r="O23" s="137">
        <v>0</v>
      </c>
      <c r="P23" s="135">
        <v>9</v>
      </c>
      <c r="Q23" s="136">
        <v>0</v>
      </c>
      <c r="R23" s="137">
        <v>0</v>
      </c>
      <c r="S23" s="135">
        <v>9</v>
      </c>
      <c r="T23" s="136">
        <v>0</v>
      </c>
      <c r="U23" s="137">
        <v>0</v>
      </c>
      <c r="V23" s="135">
        <v>1</v>
      </c>
      <c r="W23" s="136">
        <v>0</v>
      </c>
      <c r="X23" s="137">
        <v>0</v>
      </c>
      <c r="Y23" s="135">
        <v>-25</v>
      </c>
      <c r="Z23" s="136">
        <v>0</v>
      </c>
      <c r="AA23" s="137">
        <v>0</v>
      </c>
      <c r="AB23" s="135">
        <v>-23</v>
      </c>
      <c r="AC23" s="136">
        <v>0</v>
      </c>
      <c r="AD23" s="137">
        <v>0</v>
      </c>
      <c r="AE23" s="135">
        <v>2</v>
      </c>
      <c r="AF23" s="136">
        <v>0</v>
      </c>
      <c r="AG23" s="137">
        <v>0</v>
      </c>
      <c r="AH23" s="135"/>
      <c r="AI23" s="136"/>
      <c r="AJ23" s="137"/>
      <c r="AK23" s="120">
        <f t="shared" si="2"/>
        <v>142.5</v>
      </c>
      <c r="AL23" s="121"/>
      <c r="AM23" s="122"/>
    </row>
    <row r="24" spans="1:39" ht="15" customHeight="1" x14ac:dyDescent="0.2">
      <c r="A24" s="16"/>
      <c r="B24" s="165"/>
      <c r="C24" s="48">
        <f t="shared" si="0"/>
        <v>11</v>
      </c>
      <c r="D24" s="120">
        <f t="shared" si="3"/>
        <v>150</v>
      </c>
      <c r="E24" s="121"/>
      <c r="F24" s="122"/>
      <c r="G24" s="132">
        <f t="shared" si="1"/>
        <v>0</v>
      </c>
      <c r="H24" s="133"/>
      <c r="I24" s="134"/>
      <c r="J24" s="135">
        <v>22</v>
      </c>
      <c r="K24" s="136">
        <v>0</v>
      </c>
      <c r="L24" s="137">
        <v>0</v>
      </c>
      <c r="M24" s="135">
        <v>16</v>
      </c>
      <c r="N24" s="136">
        <v>0</v>
      </c>
      <c r="O24" s="137">
        <v>0</v>
      </c>
      <c r="P24" s="135">
        <v>9</v>
      </c>
      <c r="Q24" s="136">
        <v>0</v>
      </c>
      <c r="R24" s="137">
        <v>0</v>
      </c>
      <c r="S24" s="135">
        <v>0</v>
      </c>
      <c r="T24" s="136">
        <v>0</v>
      </c>
      <c r="U24" s="137">
        <v>0</v>
      </c>
      <c r="V24" s="135">
        <v>161</v>
      </c>
      <c r="W24" s="136">
        <v>0</v>
      </c>
      <c r="X24" s="137">
        <v>0</v>
      </c>
      <c r="Y24" s="135">
        <v>-5</v>
      </c>
      <c r="Z24" s="136">
        <v>0</v>
      </c>
      <c r="AA24" s="137">
        <v>0</v>
      </c>
      <c r="AB24" s="135">
        <v>7</v>
      </c>
      <c r="AC24" s="136">
        <v>0</v>
      </c>
      <c r="AD24" s="137">
        <v>0</v>
      </c>
      <c r="AE24" s="135">
        <v>37</v>
      </c>
      <c r="AF24" s="136">
        <v>0</v>
      </c>
      <c r="AG24" s="137">
        <v>0</v>
      </c>
      <c r="AH24" s="135"/>
      <c r="AI24" s="136"/>
      <c r="AJ24" s="137"/>
      <c r="AK24" s="120">
        <f t="shared" si="2"/>
        <v>157.5</v>
      </c>
      <c r="AL24" s="121"/>
      <c r="AM24" s="122"/>
    </row>
    <row r="25" spans="1:39" ht="15" customHeight="1" x14ac:dyDescent="0.2">
      <c r="A25" s="16"/>
      <c r="B25" s="165"/>
      <c r="C25" s="48">
        <f t="shared" si="0"/>
        <v>12</v>
      </c>
      <c r="D25" s="120">
        <f t="shared" si="3"/>
        <v>165</v>
      </c>
      <c r="E25" s="121"/>
      <c r="F25" s="122"/>
      <c r="G25" s="132">
        <f t="shared" si="1"/>
        <v>0</v>
      </c>
      <c r="H25" s="133"/>
      <c r="I25" s="134"/>
      <c r="J25" s="135">
        <v>27</v>
      </c>
      <c r="K25" s="136">
        <v>0</v>
      </c>
      <c r="L25" s="137">
        <v>0</v>
      </c>
      <c r="M25" s="135">
        <v>11</v>
      </c>
      <c r="N25" s="136">
        <v>0</v>
      </c>
      <c r="O25" s="137">
        <v>0</v>
      </c>
      <c r="P25" s="135">
        <v>4</v>
      </c>
      <c r="Q25" s="136">
        <v>0</v>
      </c>
      <c r="R25" s="137">
        <v>0</v>
      </c>
      <c r="S25" s="135">
        <v>-21</v>
      </c>
      <c r="T25" s="136">
        <v>0</v>
      </c>
      <c r="U25" s="137">
        <v>0</v>
      </c>
      <c r="V25" s="135">
        <v>11</v>
      </c>
      <c r="W25" s="136">
        <v>0</v>
      </c>
      <c r="X25" s="137">
        <v>0</v>
      </c>
      <c r="Y25" s="135">
        <v>0</v>
      </c>
      <c r="Z25" s="136">
        <v>0</v>
      </c>
      <c r="AA25" s="137">
        <v>0</v>
      </c>
      <c r="AB25" s="135">
        <v>-3</v>
      </c>
      <c r="AC25" s="136">
        <v>0</v>
      </c>
      <c r="AD25" s="137">
        <v>0</v>
      </c>
      <c r="AE25" s="135">
        <v>12</v>
      </c>
      <c r="AF25" s="136">
        <v>0</v>
      </c>
      <c r="AG25" s="137">
        <v>0</v>
      </c>
      <c r="AH25" s="135"/>
      <c r="AI25" s="136"/>
      <c r="AJ25" s="137"/>
      <c r="AK25" s="120">
        <f t="shared" si="2"/>
        <v>172.5</v>
      </c>
      <c r="AL25" s="121"/>
      <c r="AM25" s="122"/>
    </row>
    <row r="26" spans="1:39" ht="15" customHeight="1" x14ac:dyDescent="0.2">
      <c r="A26" s="16"/>
      <c r="B26" s="165"/>
      <c r="C26" s="48">
        <f t="shared" si="0"/>
        <v>13</v>
      </c>
      <c r="D26" s="120">
        <f t="shared" si="3"/>
        <v>180</v>
      </c>
      <c r="E26" s="121"/>
      <c r="F26" s="122"/>
      <c r="G26" s="132">
        <f t="shared" si="1"/>
        <v>0</v>
      </c>
      <c r="H26" s="133"/>
      <c r="I26" s="134"/>
      <c r="J26" s="135">
        <v>17</v>
      </c>
      <c r="K26" s="136">
        <v>0</v>
      </c>
      <c r="L26" s="137">
        <v>0</v>
      </c>
      <c r="M26" s="135">
        <v>11</v>
      </c>
      <c r="N26" s="136">
        <v>0</v>
      </c>
      <c r="O26" s="137">
        <v>0</v>
      </c>
      <c r="P26" s="135">
        <v>0</v>
      </c>
      <c r="Q26" s="136">
        <v>0</v>
      </c>
      <c r="R26" s="137">
        <v>0</v>
      </c>
      <c r="S26" s="135">
        <v>0</v>
      </c>
      <c r="T26" s="136">
        <v>0</v>
      </c>
      <c r="U26" s="137">
        <v>0</v>
      </c>
      <c r="V26" s="135">
        <v>0</v>
      </c>
      <c r="W26" s="136">
        <v>0</v>
      </c>
      <c r="X26" s="137">
        <v>0</v>
      </c>
      <c r="Y26" s="135">
        <v>5</v>
      </c>
      <c r="Z26" s="136">
        <v>0</v>
      </c>
      <c r="AA26" s="137">
        <v>0</v>
      </c>
      <c r="AB26" s="135">
        <v>-3</v>
      </c>
      <c r="AC26" s="136">
        <v>0</v>
      </c>
      <c r="AD26" s="137">
        <v>0</v>
      </c>
      <c r="AE26" s="135">
        <v>2</v>
      </c>
      <c r="AF26" s="136">
        <v>0</v>
      </c>
      <c r="AG26" s="137">
        <v>0</v>
      </c>
      <c r="AH26" s="135"/>
      <c r="AI26" s="136"/>
      <c r="AJ26" s="137"/>
      <c r="AK26" s="120">
        <f t="shared" si="2"/>
        <v>187.5</v>
      </c>
      <c r="AL26" s="121"/>
      <c r="AM26" s="122"/>
    </row>
    <row r="27" spans="1:39" ht="15" customHeight="1" x14ac:dyDescent="0.2">
      <c r="A27" s="16"/>
      <c r="B27" s="165"/>
      <c r="C27" s="48">
        <f t="shared" si="0"/>
        <v>14</v>
      </c>
      <c r="D27" s="120">
        <f t="shared" si="3"/>
        <v>195</v>
      </c>
      <c r="E27" s="121"/>
      <c r="F27" s="122"/>
      <c r="G27" s="132">
        <f t="shared" si="1"/>
        <v>0</v>
      </c>
      <c r="H27" s="133"/>
      <c r="I27" s="134"/>
      <c r="J27" s="135">
        <v>22</v>
      </c>
      <c r="K27" s="136">
        <v>0</v>
      </c>
      <c r="L27" s="137">
        <v>0</v>
      </c>
      <c r="M27" s="135">
        <v>-9</v>
      </c>
      <c r="N27" s="136">
        <v>0</v>
      </c>
      <c r="O27" s="137">
        <v>0</v>
      </c>
      <c r="P27" s="135">
        <v>-81</v>
      </c>
      <c r="Q27" s="136">
        <v>0</v>
      </c>
      <c r="R27" s="137">
        <v>0</v>
      </c>
      <c r="S27" s="135">
        <v>-11</v>
      </c>
      <c r="T27" s="136">
        <v>0</v>
      </c>
      <c r="U27" s="137">
        <v>0</v>
      </c>
      <c r="V27" s="135">
        <v>0</v>
      </c>
      <c r="W27" s="136">
        <v>0</v>
      </c>
      <c r="X27" s="137">
        <v>0</v>
      </c>
      <c r="Y27" s="135">
        <v>0</v>
      </c>
      <c r="Z27" s="136">
        <v>0</v>
      </c>
      <c r="AA27" s="137">
        <v>0</v>
      </c>
      <c r="AB27" s="135">
        <v>0</v>
      </c>
      <c r="AC27" s="136">
        <v>0</v>
      </c>
      <c r="AD27" s="137">
        <v>0</v>
      </c>
      <c r="AE27" s="135">
        <v>22</v>
      </c>
      <c r="AF27" s="136">
        <v>0</v>
      </c>
      <c r="AG27" s="137">
        <v>0</v>
      </c>
      <c r="AH27" s="135"/>
      <c r="AI27" s="136"/>
      <c r="AJ27" s="137"/>
      <c r="AK27" s="120">
        <f t="shared" si="2"/>
        <v>202.5</v>
      </c>
      <c r="AL27" s="121"/>
      <c r="AM27" s="122"/>
    </row>
    <row r="28" spans="1:39" ht="15" customHeight="1" x14ac:dyDescent="0.2">
      <c r="A28" s="16"/>
      <c r="B28" s="165"/>
      <c r="C28" s="48">
        <f t="shared" si="0"/>
        <v>15</v>
      </c>
      <c r="D28" s="120">
        <f t="shared" si="3"/>
        <v>210</v>
      </c>
      <c r="E28" s="121"/>
      <c r="F28" s="122"/>
      <c r="G28" s="132">
        <f t="shared" si="1"/>
        <v>0</v>
      </c>
      <c r="H28" s="133"/>
      <c r="I28" s="134"/>
      <c r="J28" s="135">
        <v>12</v>
      </c>
      <c r="K28" s="136">
        <v>0</v>
      </c>
      <c r="L28" s="137">
        <v>0</v>
      </c>
      <c r="M28" s="135">
        <v>-9</v>
      </c>
      <c r="N28" s="136">
        <v>0</v>
      </c>
      <c r="O28" s="137">
        <v>0</v>
      </c>
      <c r="P28" s="135">
        <v>-76</v>
      </c>
      <c r="Q28" s="136">
        <v>0</v>
      </c>
      <c r="R28" s="137">
        <v>0</v>
      </c>
      <c r="S28" s="135">
        <v>19</v>
      </c>
      <c r="T28" s="136">
        <v>0</v>
      </c>
      <c r="U28" s="137">
        <v>0</v>
      </c>
      <c r="V28" s="135">
        <v>-39</v>
      </c>
      <c r="W28" s="136">
        <v>0</v>
      </c>
      <c r="X28" s="137">
        <v>0</v>
      </c>
      <c r="Y28" s="135">
        <v>0</v>
      </c>
      <c r="Z28" s="136">
        <v>0</v>
      </c>
      <c r="AA28" s="137">
        <v>0</v>
      </c>
      <c r="AB28" s="135">
        <v>-13</v>
      </c>
      <c r="AC28" s="136">
        <v>0</v>
      </c>
      <c r="AD28" s="137">
        <v>0</v>
      </c>
      <c r="AE28" s="135">
        <v>2</v>
      </c>
      <c r="AF28" s="136">
        <v>0</v>
      </c>
      <c r="AG28" s="137">
        <v>0</v>
      </c>
      <c r="AH28" s="135"/>
      <c r="AI28" s="136"/>
      <c r="AJ28" s="137"/>
      <c r="AK28" s="120">
        <f t="shared" si="2"/>
        <v>217.5</v>
      </c>
      <c r="AL28" s="121"/>
      <c r="AM28" s="122"/>
    </row>
    <row r="29" spans="1:39" ht="15" customHeight="1" x14ac:dyDescent="0.2">
      <c r="A29" s="16"/>
      <c r="B29" s="165"/>
      <c r="C29" s="48">
        <f t="shared" si="0"/>
        <v>16</v>
      </c>
      <c r="D29" s="120">
        <f t="shared" si="3"/>
        <v>225</v>
      </c>
      <c r="E29" s="121"/>
      <c r="F29" s="122"/>
      <c r="G29" s="132">
        <f t="shared" si="1"/>
        <v>0</v>
      </c>
      <c r="H29" s="133"/>
      <c r="I29" s="134"/>
      <c r="J29" s="135">
        <v>12</v>
      </c>
      <c r="K29" s="136">
        <v>0</v>
      </c>
      <c r="L29" s="137">
        <v>0</v>
      </c>
      <c r="M29" s="135">
        <v>-9</v>
      </c>
      <c r="N29" s="136">
        <v>0</v>
      </c>
      <c r="O29" s="137">
        <v>0</v>
      </c>
      <c r="P29" s="135">
        <v>-76</v>
      </c>
      <c r="Q29" s="136">
        <v>0</v>
      </c>
      <c r="R29" s="137">
        <v>0</v>
      </c>
      <c r="S29" s="135">
        <v>4</v>
      </c>
      <c r="T29" s="136">
        <v>0</v>
      </c>
      <c r="U29" s="137">
        <v>0</v>
      </c>
      <c r="V29" s="135">
        <v>-19</v>
      </c>
      <c r="W29" s="136">
        <v>0</v>
      </c>
      <c r="X29" s="137">
        <v>0</v>
      </c>
      <c r="Y29" s="135">
        <v>0</v>
      </c>
      <c r="Z29" s="136">
        <v>0</v>
      </c>
      <c r="AA29" s="137">
        <v>0</v>
      </c>
      <c r="AB29" s="135">
        <v>0</v>
      </c>
      <c r="AC29" s="136">
        <v>0</v>
      </c>
      <c r="AD29" s="137">
        <v>0</v>
      </c>
      <c r="AE29" s="135">
        <v>7</v>
      </c>
      <c r="AF29" s="136">
        <v>0</v>
      </c>
      <c r="AG29" s="137">
        <v>0</v>
      </c>
      <c r="AH29" s="135"/>
      <c r="AI29" s="136"/>
      <c r="AJ29" s="137"/>
      <c r="AK29" s="120">
        <f t="shared" si="2"/>
        <v>232.5</v>
      </c>
      <c r="AL29" s="121"/>
      <c r="AM29" s="122"/>
    </row>
    <row r="30" spans="1:39" ht="15" customHeight="1" x14ac:dyDescent="0.2">
      <c r="A30" s="16"/>
      <c r="B30" s="165"/>
      <c r="C30" s="48">
        <f t="shared" si="0"/>
        <v>17</v>
      </c>
      <c r="D30" s="120">
        <f t="shared" si="3"/>
        <v>240</v>
      </c>
      <c r="E30" s="121"/>
      <c r="F30" s="122"/>
      <c r="G30" s="132">
        <f t="shared" si="1"/>
        <v>0</v>
      </c>
      <c r="H30" s="133"/>
      <c r="I30" s="134"/>
      <c r="J30" s="135">
        <v>12</v>
      </c>
      <c r="K30" s="136">
        <v>0</v>
      </c>
      <c r="L30" s="137">
        <v>0</v>
      </c>
      <c r="M30" s="135">
        <v>11</v>
      </c>
      <c r="N30" s="136">
        <v>0</v>
      </c>
      <c r="O30" s="137">
        <v>0</v>
      </c>
      <c r="P30" s="135">
        <v>-16</v>
      </c>
      <c r="Q30" s="136">
        <v>0</v>
      </c>
      <c r="R30" s="137">
        <v>0</v>
      </c>
      <c r="S30" s="135">
        <v>0</v>
      </c>
      <c r="T30" s="136">
        <v>0</v>
      </c>
      <c r="U30" s="137">
        <v>0</v>
      </c>
      <c r="V30" s="135">
        <v>0</v>
      </c>
      <c r="W30" s="136">
        <v>0</v>
      </c>
      <c r="X30" s="137">
        <v>0</v>
      </c>
      <c r="Y30" s="135">
        <v>30</v>
      </c>
      <c r="Z30" s="136">
        <v>0</v>
      </c>
      <c r="AA30" s="137">
        <v>0</v>
      </c>
      <c r="AB30" s="135">
        <v>-13</v>
      </c>
      <c r="AC30" s="136">
        <v>0</v>
      </c>
      <c r="AD30" s="137">
        <v>0</v>
      </c>
      <c r="AE30" s="135">
        <v>2</v>
      </c>
      <c r="AF30" s="136">
        <v>0</v>
      </c>
      <c r="AG30" s="137">
        <v>0</v>
      </c>
      <c r="AH30" s="135"/>
      <c r="AI30" s="136"/>
      <c r="AJ30" s="137"/>
      <c r="AK30" s="120">
        <f t="shared" si="2"/>
        <v>247.5</v>
      </c>
      <c r="AL30" s="121"/>
      <c r="AM30" s="122"/>
    </row>
    <row r="31" spans="1:39" ht="15" customHeight="1" x14ac:dyDescent="0.2">
      <c r="A31" s="16"/>
      <c r="B31" s="165"/>
      <c r="C31" s="48">
        <f t="shared" si="0"/>
        <v>18</v>
      </c>
      <c r="D31" s="120">
        <f t="shared" si="3"/>
        <v>255</v>
      </c>
      <c r="E31" s="121"/>
      <c r="F31" s="122"/>
      <c r="G31" s="132">
        <f t="shared" si="1"/>
        <v>0</v>
      </c>
      <c r="H31" s="133"/>
      <c r="I31" s="134"/>
      <c r="J31" s="135">
        <v>17</v>
      </c>
      <c r="K31" s="136">
        <v>0</v>
      </c>
      <c r="L31" s="137">
        <v>0</v>
      </c>
      <c r="M31" s="135">
        <v>26</v>
      </c>
      <c r="N31" s="136">
        <v>0</v>
      </c>
      <c r="O31" s="137">
        <v>0</v>
      </c>
      <c r="P31" s="135">
        <v>4</v>
      </c>
      <c r="Q31" s="136">
        <v>0</v>
      </c>
      <c r="R31" s="137">
        <v>0</v>
      </c>
      <c r="S31" s="135">
        <v>0</v>
      </c>
      <c r="T31" s="136">
        <v>0</v>
      </c>
      <c r="U31" s="137">
        <v>0</v>
      </c>
      <c r="V31" s="135">
        <v>0</v>
      </c>
      <c r="W31" s="136">
        <v>0</v>
      </c>
      <c r="X31" s="137">
        <v>0</v>
      </c>
      <c r="Y31" s="135">
        <v>0</v>
      </c>
      <c r="Z31" s="136">
        <v>0</v>
      </c>
      <c r="AA31" s="137">
        <v>0</v>
      </c>
      <c r="AB31" s="135">
        <v>-23</v>
      </c>
      <c r="AC31" s="136">
        <v>0</v>
      </c>
      <c r="AD31" s="137">
        <v>0</v>
      </c>
      <c r="AE31" s="135">
        <v>12</v>
      </c>
      <c r="AF31" s="136">
        <v>0</v>
      </c>
      <c r="AG31" s="137">
        <v>0</v>
      </c>
      <c r="AH31" s="135"/>
      <c r="AI31" s="136"/>
      <c r="AJ31" s="137"/>
      <c r="AK31" s="120">
        <f t="shared" si="2"/>
        <v>262.5</v>
      </c>
      <c r="AL31" s="121"/>
      <c r="AM31" s="122"/>
    </row>
    <row r="32" spans="1:39" ht="15" customHeight="1" x14ac:dyDescent="0.2">
      <c r="A32" s="16"/>
      <c r="B32" s="165"/>
      <c r="C32" s="48">
        <f t="shared" si="0"/>
        <v>19</v>
      </c>
      <c r="D32" s="120">
        <f t="shared" si="3"/>
        <v>270</v>
      </c>
      <c r="E32" s="121"/>
      <c r="F32" s="122"/>
      <c r="G32" s="132">
        <f t="shared" si="1"/>
        <v>0</v>
      </c>
      <c r="H32" s="133"/>
      <c r="I32" s="134"/>
      <c r="J32" s="135">
        <v>22</v>
      </c>
      <c r="K32" s="136">
        <v>0</v>
      </c>
      <c r="L32" s="137">
        <v>0</v>
      </c>
      <c r="M32" s="135">
        <v>21</v>
      </c>
      <c r="N32" s="136">
        <v>0</v>
      </c>
      <c r="O32" s="137">
        <v>0</v>
      </c>
      <c r="P32" s="135">
        <v>4</v>
      </c>
      <c r="Q32" s="136">
        <v>0</v>
      </c>
      <c r="R32" s="137">
        <v>0</v>
      </c>
      <c r="S32" s="135">
        <v>0</v>
      </c>
      <c r="T32" s="136">
        <v>0</v>
      </c>
      <c r="U32" s="137">
        <v>0</v>
      </c>
      <c r="V32" s="135">
        <v>0</v>
      </c>
      <c r="W32" s="136">
        <v>0</v>
      </c>
      <c r="X32" s="137">
        <v>0</v>
      </c>
      <c r="Y32" s="135">
        <v>0</v>
      </c>
      <c r="Z32" s="136">
        <v>0</v>
      </c>
      <c r="AA32" s="137">
        <v>0</v>
      </c>
      <c r="AB32" s="135">
        <v>-3</v>
      </c>
      <c r="AC32" s="136">
        <v>0</v>
      </c>
      <c r="AD32" s="137">
        <v>0</v>
      </c>
      <c r="AE32" s="135">
        <v>37</v>
      </c>
      <c r="AF32" s="136">
        <v>0</v>
      </c>
      <c r="AG32" s="137">
        <v>0</v>
      </c>
      <c r="AH32" s="135"/>
      <c r="AI32" s="136"/>
      <c r="AJ32" s="137"/>
      <c r="AK32" s="120">
        <f t="shared" si="2"/>
        <v>277.5</v>
      </c>
      <c r="AL32" s="121"/>
      <c r="AM32" s="122"/>
    </row>
    <row r="33" spans="1:39" ht="15" customHeight="1" x14ac:dyDescent="0.2">
      <c r="A33" s="16"/>
      <c r="B33" s="165"/>
      <c r="C33" s="48">
        <f t="shared" si="0"/>
        <v>20</v>
      </c>
      <c r="D33" s="120">
        <f t="shared" si="3"/>
        <v>285</v>
      </c>
      <c r="E33" s="121"/>
      <c r="F33" s="122"/>
      <c r="G33" s="132">
        <f t="shared" si="1"/>
        <v>0</v>
      </c>
      <c r="H33" s="133"/>
      <c r="I33" s="134"/>
      <c r="J33" s="135">
        <v>12</v>
      </c>
      <c r="K33" s="136">
        <v>0</v>
      </c>
      <c r="L33" s="137">
        <v>0</v>
      </c>
      <c r="M33" s="135">
        <v>6</v>
      </c>
      <c r="N33" s="136">
        <v>0</v>
      </c>
      <c r="O33" s="137">
        <v>0</v>
      </c>
      <c r="P33" s="135">
        <v>-76</v>
      </c>
      <c r="Q33" s="136">
        <v>0</v>
      </c>
      <c r="R33" s="137">
        <v>0</v>
      </c>
      <c r="S33" s="135">
        <v>0</v>
      </c>
      <c r="T33" s="136">
        <v>0</v>
      </c>
      <c r="U33" s="137">
        <v>0</v>
      </c>
      <c r="V33" s="135">
        <v>0</v>
      </c>
      <c r="W33" s="136">
        <v>0</v>
      </c>
      <c r="X33" s="137">
        <v>0</v>
      </c>
      <c r="Y33" s="135">
        <v>25</v>
      </c>
      <c r="Z33" s="136">
        <v>0</v>
      </c>
      <c r="AA33" s="137">
        <v>0</v>
      </c>
      <c r="AB33" s="135">
        <v>17</v>
      </c>
      <c r="AC33" s="136">
        <v>0</v>
      </c>
      <c r="AD33" s="137">
        <v>0</v>
      </c>
      <c r="AE33" s="135">
        <v>42</v>
      </c>
      <c r="AF33" s="136">
        <v>0</v>
      </c>
      <c r="AG33" s="137">
        <v>0</v>
      </c>
      <c r="AH33" s="135"/>
      <c r="AI33" s="136"/>
      <c r="AJ33" s="137"/>
      <c r="AK33" s="120">
        <f t="shared" si="2"/>
        <v>292.5</v>
      </c>
      <c r="AL33" s="121"/>
      <c r="AM33" s="122"/>
    </row>
    <row r="34" spans="1:39" ht="15" customHeight="1" x14ac:dyDescent="0.2">
      <c r="A34" s="16"/>
      <c r="B34" s="165"/>
      <c r="C34" s="48">
        <f t="shared" si="0"/>
        <v>21</v>
      </c>
      <c r="D34" s="120">
        <f t="shared" si="3"/>
        <v>300</v>
      </c>
      <c r="E34" s="121"/>
      <c r="F34" s="122"/>
      <c r="G34" s="132">
        <f t="shared" si="1"/>
        <v>0</v>
      </c>
      <c r="H34" s="133"/>
      <c r="I34" s="134"/>
      <c r="J34" s="135">
        <v>12</v>
      </c>
      <c r="K34" s="136">
        <v>0</v>
      </c>
      <c r="L34" s="137">
        <v>0</v>
      </c>
      <c r="M34" s="135">
        <v>26</v>
      </c>
      <c r="N34" s="136">
        <v>0</v>
      </c>
      <c r="O34" s="137">
        <v>0</v>
      </c>
      <c r="P34" s="135">
        <v>-81</v>
      </c>
      <c r="Q34" s="136">
        <v>0</v>
      </c>
      <c r="R34" s="137">
        <v>0</v>
      </c>
      <c r="S34" s="135">
        <v>-11</v>
      </c>
      <c r="T34" s="136">
        <v>0</v>
      </c>
      <c r="U34" s="137">
        <v>0</v>
      </c>
      <c r="V34" s="135">
        <v>16</v>
      </c>
      <c r="W34" s="136">
        <v>0</v>
      </c>
      <c r="X34" s="137">
        <v>0</v>
      </c>
      <c r="Y34" s="135">
        <v>0</v>
      </c>
      <c r="Z34" s="136">
        <v>0</v>
      </c>
      <c r="AA34" s="137">
        <v>0</v>
      </c>
      <c r="AB34" s="135">
        <v>-53</v>
      </c>
      <c r="AC34" s="136">
        <v>0</v>
      </c>
      <c r="AD34" s="137">
        <v>0</v>
      </c>
      <c r="AE34" s="135">
        <v>-38</v>
      </c>
      <c r="AF34" s="136">
        <v>0</v>
      </c>
      <c r="AG34" s="137">
        <v>0</v>
      </c>
      <c r="AH34" s="135"/>
      <c r="AI34" s="136"/>
      <c r="AJ34" s="137"/>
      <c r="AK34" s="120">
        <f t="shared" si="2"/>
        <v>307.5</v>
      </c>
      <c r="AL34" s="121"/>
      <c r="AM34" s="122"/>
    </row>
    <row r="35" spans="1:39" ht="15" customHeight="1" x14ac:dyDescent="0.2">
      <c r="A35" s="16"/>
      <c r="B35" s="165"/>
      <c r="C35" s="48">
        <f t="shared" si="0"/>
        <v>22</v>
      </c>
      <c r="D35" s="120">
        <f t="shared" si="3"/>
        <v>315</v>
      </c>
      <c r="E35" s="121"/>
      <c r="F35" s="122"/>
      <c r="G35" s="132">
        <f t="shared" si="1"/>
        <v>0</v>
      </c>
      <c r="H35" s="133"/>
      <c r="I35" s="134"/>
      <c r="J35" s="135">
        <v>17</v>
      </c>
      <c r="K35" s="136">
        <v>0</v>
      </c>
      <c r="L35" s="137">
        <v>0</v>
      </c>
      <c r="M35" s="135">
        <v>0</v>
      </c>
      <c r="N35" s="136">
        <v>0</v>
      </c>
      <c r="O35" s="137">
        <v>0</v>
      </c>
      <c r="P35" s="135">
        <v>-76</v>
      </c>
      <c r="Q35" s="136">
        <v>0</v>
      </c>
      <c r="R35" s="137">
        <v>0</v>
      </c>
      <c r="S35" s="135">
        <v>-41</v>
      </c>
      <c r="T35" s="136">
        <v>0</v>
      </c>
      <c r="U35" s="137">
        <v>0</v>
      </c>
      <c r="V35" s="135">
        <v>-39</v>
      </c>
      <c r="W35" s="136">
        <v>0</v>
      </c>
      <c r="X35" s="137">
        <v>0</v>
      </c>
      <c r="Y35" s="135">
        <v>-145</v>
      </c>
      <c r="Z35" s="136">
        <v>0</v>
      </c>
      <c r="AA35" s="137">
        <v>0</v>
      </c>
      <c r="AB35" s="135">
        <v>-83</v>
      </c>
      <c r="AC35" s="136">
        <v>0</v>
      </c>
      <c r="AD35" s="137">
        <v>0</v>
      </c>
      <c r="AE35" s="135">
        <v>-78</v>
      </c>
      <c r="AF35" s="136">
        <v>0</v>
      </c>
      <c r="AG35" s="137">
        <v>0</v>
      </c>
      <c r="AH35" s="135"/>
      <c r="AI35" s="136"/>
      <c r="AJ35" s="137"/>
      <c r="AK35" s="120">
        <f t="shared" si="2"/>
        <v>322.5</v>
      </c>
      <c r="AL35" s="121"/>
      <c r="AM35" s="122"/>
    </row>
    <row r="36" spans="1:39" ht="15" customHeight="1" x14ac:dyDescent="0.2">
      <c r="A36" s="16"/>
      <c r="B36" s="165"/>
      <c r="C36" s="48">
        <f t="shared" si="0"/>
        <v>23</v>
      </c>
      <c r="D36" s="120">
        <f t="shared" si="3"/>
        <v>330</v>
      </c>
      <c r="E36" s="121"/>
      <c r="F36" s="122"/>
      <c r="G36" s="132">
        <f t="shared" si="1"/>
        <v>0</v>
      </c>
      <c r="H36" s="133"/>
      <c r="I36" s="134"/>
      <c r="J36" s="135">
        <v>17</v>
      </c>
      <c r="K36" s="136">
        <v>0</v>
      </c>
      <c r="L36" s="137">
        <v>0</v>
      </c>
      <c r="M36" s="135">
        <v>21</v>
      </c>
      <c r="N36" s="136">
        <v>0</v>
      </c>
      <c r="O36" s="137">
        <v>0</v>
      </c>
      <c r="P36" s="135">
        <v>9</v>
      </c>
      <c r="Q36" s="136">
        <v>0</v>
      </c>
      <c r="R36" s="137">
        <v>0</v>
      </c>
      <c r="S36" s="135">
        <v>-1</v>
      </c>
      <c r="T36" s="136">
        <v>0</v>
      </c>
      <c r="U36" s="137">
        <v>0</v>
      </c>
      <c r="V36" s="135">
        <v>61</v>
      </c>
      <c r="W36" s="136">
        <v>0</v>
      </c>
      <c r="X36" s="137">
        <v>0</v>
      </c>
      <c r="Y36" s="135">
        <v>0</v>
      </c>
      <c r="Z36" s="136">
        <v>0</v>
      </c>
      <c r="AA36" s="137">
        <v>0</v>
      </c>
      <c r="AB36" s="135">
        <v>12</v>
      </c>
      <c r="AC36" s="136">
        <v>0</v>
      </c>
      <c r="AD36" s="137">
        <v>0</v>
      </c>
      <c r="AE36" s="135">
        <v>52</v>
      </c>
      <c r="AF36" s="136">
        <v>0</v>
      </c>
      <c r="AG36" s="137">
        <v>0</v>
      </c>
      <c r="AH36" s="135"/>
      <c r="AI36" s="136"/>
      <c r="AJ36" s="137"/>
      <c r="AK36" s="120">
        <f t="shared" si="2"/>
        <v>337.5</v>
      </c>
      <c r="AL36" s="121"/>
      <c r="AM36" s="122"/>
    </row>
    <row r="37" spans="1:39" ht="15" customHeight="1" x14ac:dyDescent="0.2">
      <c r="A37" s="16"/>
      <c r="B37" s="165"/>
      <c r="C37" s="48">
        <f t="shared" si="0"/>
        <v>24</v>
      </c>
      <c r="D37" s="120">
        <f t="shared" si="3"/>
        <v>345</v>
      </c>
      <c r="E37" s="121"/>
      <c r="F37" s="122"/>
      <c r="G37" s="132">
        <f t="shared" si="1"/>
        <v>0</v>
      </c>
      <c r="H37" s="133"/>
      <c r="I37" s="134"/>
      <c r="J37" s="135">
        <v>12</v>
      </c>
      <c r="K37" s="136">
        <v>0</v>
      </c>
      <c r="L37" s="137">
        <v>0</v>
      </c>
      <c r="M37" s="135">
        <v>21</v>
      </c>
      <c r="N37" s="136">
        <v>0</v>
      </c>
      <c r="O37" s="137">
        <v>0</v>
      </c>
      <c r="P37" s="135">
        <v>-16</v>
      </c>
      <c r="Q37" s="136">
        <v>0</v>
      </c>
      <c r="R37" s="137">
        <v>0</v>
      </c>
      <c r="S37" s="135">
        <v>-6</v>
      </c>
      <c r="T37" s="136">
        <v>0</v>
      </c>
      <c r="U37" s="137">
        <v>0</v>
      </c>
      <c r="V37" s="135">
        <v>41</v>
      </c>
      <c r="W37" s="136">
        <v>0</v>
      </c>
      <c r="X37" s="137">
        <v>0</v>
      </c>
      <c r="Y37" s="135">
        <v>25</v>
      </c>
      <c r="Z37" s="136">
        <v>0</v>
      </c>
      <c r="AA37" s="137">
        <v>0</v>
      </c>
      <c r="AB37" s="135">
        <v>-13</v>
      </c>
      <c r="AC37" s="136">
        <v>0</v>
      </c>
      <c r="AD37" s="137">
        <v>0</v>
      </c>
      <c r="AE37" s="135">
        <v>-18</v>
      </c>
      <c r="AF37" s="136">
        <v>0</v>
      </c>
      <c r="AG37" s="137">
        <v>0</v>
      </c>
      <c r="AH37" s="135"/>
      <c r="AI37" s="136"/>
      <c r="AJ37" s="137"/>
      <c r="AK37" s="120">
        <f t="shared" si="2"/>
        <v>352.5</v>
      </c>
      <c r="AL37" s="121"/>
      <c r="AM37" s="122"/>
    </row>
    <row r="38" spans="1:39" ht="15" customHeight="1" x14ac:dyDescent="0.2">
      <c r="A38" s="16"/>
      <c r="B38" s="165"/>
      <c r="C38" s="48" t="str">
        <f t="shared" si="0"/>
        <v/>
      </c>
      <c r="D38" s="120" t="str">
        <f t="shared" si="3"/>
        <v/>
      </c>
      <c r="E38" s="121"/>
      <c r="F38" s="122"/>
      <c r="G38" s="132" t="str">
        <f t="shared" si="1"/>
        <v/>
      </c>
      <c r="H38" s="133"/>
      <c r="I38" s="134"/>
      <c r="J38" s="135"/>
      <c r="K38" s="136"/>
      <c r="L38" s="137"/>
      <c r="M38" s="135"/>
      <c r="N38" s="136"/>
      <c r="O38" s="137"/>
      <c r="P38" s="135"/>
      <c r="Q38" s="136"/>
      <c r="R38" s="137"/>
      <c r="S38" s="135"/>
      <c r="T38" s="136"/>
      <c r="U38" s="137"/>
      <c r="V38" s="135"/>
      <c r="W38" s="136"/>
      <c r="X38" s="137"/>
      <c r="Y38" s="135"/>
      <c r="Z38" s="136"/>
      <c r="AA38" s="137"/>
      <c r="AB38" s="135"/>
      <c r="AC38" s="136"/>
      <c r="AD38" s="137"/>
      <c r="AE38" s="135"/>
      <c r="AF38" s="136"/>
      <c r="AG38" s="137"/>
      <c r="AH38" s="135"/>
      <c r="AI38" s="136"/>
      <c r="AJ38" s="137"/>
      <c r="AK38" s="120" t="str">
        <f t="shared" si="2"/>
        <v/>
      </c>
      <c r="AL38" s="121"/>
      <c r="AM38" s="122"/>
    </row>
    <row r="39" spans="1:39" ht="15" customHeight="1" x14ac:dyDescent="0.2">
      <c r="A39" s="16"/>
      <c r="B39" s="165"/>
      <c r="C39" s="48" t="str">
        <f t="shared" si="0"/>
        <v/>
      </c>
      <c r="D39" s="120" t="str">
        <f t="shared" si="3"/>
        <v/>
      </c>
      <c r="E39" s="121"/>
      <c r="F39" s="122"/>
      <c r="G39" s="132" t="str">
        <f t="shared" si="1"/>
        <v/>
      </c>
      <c r="H39" s="133"/>
      <c r="I39" s="134"/>
      <c r="J39" s="135"/>
      <c r="K39" s="136"/>
      <c r="L39" s="137"/>
      <c r="M39" s="135"/>
      <c r="N39" s="136"/>
      <c r="O39" s="137"/>
      <c r="P39" s="135"/>
      <c r="Q39" s="136"/>
      <c r="R39" s="137"/>
      <c r="S39" s="135"/>
      <c r="T39" s="136"/>
      <c r="U39" s="137"/>
      <c r="V39" s="135"/>
      <c r="W39" s="136"/>
      <c r="X39" s="137"/>
      <c r="Y39" s="135"/>
      <c r="Z39" s="136"/>
      <c r="AA39" s="137"/>
      <c r="AB39" s="135"/>
      <c r="AC39" s="136"/>
      <c r="AD39" s="137"/>
      <c r="AE39" s="135"/>
      <c r="AF39" s="136"/>
      <c r="AG39" s="137"/>
      <c r="AH39" s="135"/>
      <c r="AI39" s="136"/>
      <c r="AJ39" s="137"/>
      <c r="AK39" s="120" t="str">
        <f t="shared" si="2"/>
        <v/>
      </c>
      <c r="AL39" s="121"/>
      <c r="AM39" s="122"/>
    </row>
    <row r="40" spans="1:39" ht="15" customHeight="1" x14ac:dyDescent="0.2">
      <c r="A40" s="16"/>
      <c r="B40" s="165"/>
      <c r="C40" s="48" t="str">
        <f t="shared" si="0"/>
        <v/>
      </c>
      <c r="D40" s="120" t="str">
        <f t="shared" si="3"/>
        <v/>
      </c>
      <c r="E40" s="121"/>
      <c r="F40" s="122"/>
      <c r="G40" s="132" t="str">
        <f t="shared" si="1"/>
        <v/>
      </c>
      <c r="H40" s="133"/>
      <c r="I40" s="134"/>
      <c r="J40" s="135"/>
      <c r="K40" s="136"/>
      <c r="L40" s="137"/>
      <c r="M40" s="135"/>
      <c r="N40" s="136"/>
      <c r="O40" s="137"/>
      <c r="P40" s="135"/>
      <c r="Q40" s="136"/>
      <c r="R40" s="137"/>
      <c r="S40" s="135"/>
      <c r="T40" s="136"/>
      <c r="U40" s="137"/>
      <c r="V40" s="135"/>
      <c r="W40" s="136"/>
      <c r="X40" s="137"/>
      <c r="Y40" s="135"/>
      <c r="Z40" s="136"/>
      <c r="AA40" s="137"/>
      <c r="AB40" s="135"/>
      <c r="AC40" s="136"/>
      <c r="AD40" s="137"/>
      <c r="AE40" s="135"/>
      <c r="AF40" s="136"/>
      <c r="AG40" s="137"/>
      <c r="AH40" s="135"/>
      <c r="AI40" s="136"/>
      <c r="AJ40" s="137"/>
      <c r="AK40" s="120" t="str">
        <f t="shared" si="2"/>
        <v/>
      </c>
      <c r="AL40" s="121"/>
      <c r="AM40" s="122"/>
    </row>
    <row r="41" spans="1:39" ht="15" customHeight="1" x14ac:dyDescent="0.2">
      <c r="A41" s="16"/>
      <c r="B41" s="165"/>
      <c r="C41" s="48" t="str">
        <f t="shared" si="0"/>
        <v/>
      </c>
      <c r="D41" s="120" t="str">
        <f t="shared" si="3"/>
        <v/>
      </c>
      <c r="E41" s="121"/>
      <c r="F41" s="122"/>
      <c r="G41" s="132" t="str">
        <f t="shared" si="1"/>
        <v/>
      </c>
      <c r="H41" s="133"/>
      <c r="I41" s="134"/>
      <c r="J41" s="135"/>
      <c r="K41" s="136"/>
      <c r="L41" s="137"/>
      <c r="M41" s="135"/>
      <c r="N41" s="136"/>
      <c r="O41" s="137"/>
      <c r="P41" s="135"/>
      <c r="Q41" s="136"/>
      <c r="R41" s="137"/>
      <c r="S41" s="135"/>
      <c r="T41" s="136"/>
      <c r="U41" s="137"/>
      <c r="V41" s="135"/>
      <c r="W41" s="136"/>
      <c r="X41" s="137"/>
      <c r="Y41" s="135"/>
      <c r="Z41" s="136"/>
      <c r="AA41" s="137"/>
      <c r="AB41" s="135"/>
      <c r="AC41" s="136"/>
      <c r="AD41" s="137"/>
      <c r="AE41" s="135"/>
      <c r="AF41" s="136"/>
      <c r="AG41" s="137"/>
      <c r="AH41" s="135"/>
      <c r="AI41" s="136"/>
      <c r="AJ41" s="137"/>
      <c r="AK41" s="120" t="str">
        <f t="shared" si="2"/>
        <v/>
      </c>
      <c r="AL41" s="121"/>
      <c r="AM41" s="122"/>
    </row>
    <row r="42" spans="1:39" ht="15" customHeight="1" x14ac:dyDescent="0.2">
      <c r="A42" s="16"/>
      <c r="B42" s="165"/>
      <c r="C42" s="48" t="str">
        <f t="shared" si="0"/>
        <v/>
      </c>
      <c r="D42" s="120" t="str">
        <f t="shared" si="3"/>
        <v/>
      </c>
      <c r="E42" s="121"/>
      <c r="F42" s="122"/>
      <c r="G42" s="132" t="str">
        <f t="shared" si="1"/>
        <v/>
      </c>
      <c r="H42" s="133"/>
      <c r="I42" s="134"/>
      <c r="J42" s="135"/>
      <c r="K42" s="136"/>
      <c r="L42" s="137"/>
      <c r="M42" s="135"/>
      <c r="N42" s="136"/>
      <c r="O42" s="137"/>
      <c r="P42" s="135"/>
      <c r="Q42" s="136"/>
      <c r="R42" s="137"/>
      <c r="S42" s="135"/>
      <c r="T42" s="136"/>
      <c r="U42" s="137"/>
      <c r="V42" s="135"/>
      <c r="W42" s="136"/>
      <c r="X42" s="137"/>
      <c r="Y42" s="135"/>
      <c r="Z42" s="136"/>
      <c r="AA42" s="137"/>
      <c r="AB42" s="135"/>
      <c r="AC42" s="136"/>
      <c r="AD42" s="137"/>
      <c r="AE42" s="135"/>
      <c r="AF42" s="136"/>
      <c r="AG42" s="137"/>
      <c r="AH42" s="135"/>
      <c r="AI42" s="136"/>
      <c r="AJ42" s="137"/>
      <c r="AK42" s="120" t="str">
        <f t="shared" si="2"/>
        <v/>
      </c>
      <c r="AL42" s="121"/>
      <c r="AM42" s="122"/>
    </row>
    <row r="43" spans="1:39" ht="15" customHeight="1" x14ac:dyDescent="0.2">
      <c r="A43" s="16"/>
      <c r="B43" s="165"/>
      <c r="C43" s="48" t="str">
        <f t="shared" si="0"/>
        <v/>
      </c>
      <c r="D43" s="120" t="str">
        <f t="shared" si="3"/>
        <v/>
      </c>
      <c r="E43" s="121"/>
      <c r="F43" s="122"/>
      <c r="G43" s="132" t="str">
        <f t="shared" si="1"/>
        <v/>
      </c>
      <c r="H43" s="133"/>
      <c r="I43" s="134"/>
      <c r="J43" s="135"/>
      <c r="K43" s="136"/>
      <c r="L43" s="137"/>
      <c r="M43" s="135"/>
      <c r="N43" s="136"/>
      <c r="O43" s="137"/>
      <c r="P43" s="135"/>
      <c r="Q43" s="136"/>
      <c r="R43" s="137"/>
      <c r="S43" s="135"/>
      <c r="T43" s="136"/>
      <c r="U43" s="137"/>
      <c r="V43" s="135"/>
      <c r="W43" s="136"/>
      <c r="X43" s="137"/>
      <c r="Y43" s="135"/>
      <c r="Z43" s="136"/>
      <c r="AA43" s="137"/>
      <c r="AB43" s="135"/>
      <c r="AC43" s="136"/>
      <c r="AD43" s="137"/>
      <c r="AE43" s="135"/>
      <c r="AF43" s="136"/>
      <c r="AG43" s="137"/>
      <c r="AH43" s="135"/>
      <c r="AI43" s="136"/>
      <c r="AJ43" s="137"/>
      <c r="AK43" s="120" t="str">
        <f t="shared" si="2"/>
        <v/>
      </c>
      <c r="AL43" s="121"/>
      <c r="AM43" s="122"/>
    </row>
    <row r="44" spans="1:39" ht="15" customHeight="1" x14ac:dyDescent="0.2">
      <c r="A44" s="16"/>
      <c r="B44" s="165"/>
      <c r="C44" s="48" t="str">
        <f t="shared" si="0"/>
        <v/>
      </c>
      <c r="D44" s="120" t="str">
        <f t="shared" si="3"/>
        <v/>
      </c>
      <c r="E44" s="121"/>
      <c r="F44" s="122"/>
      <c r="G44" s="132" t="str">
        <f t="shared" si="1"/>
        <v/>
      </c>
      <c r="H44" s="133"/>
      <c r="I44" s="134"/>
      <c r="J44" s="135"/>
      <c r="K44" s="136"/>
      <c r="L44" s="137"/>
      <c r="M44" s="135"/>
      <c r="N44" s="136"/>
      <c r="O44" s="137"/>
      <c r="P44" s="135"/>
      <c r="Q44" s="136"/>
      <c r="R44" s="137"/>
      <c r="S44" s="135"/>
      <c r="T44" s="136"/>
      <c r="U44" s="137"/>
      <c r="V44" s="135"/>
      <c r="W44" s="136"/>
      <c r="X44" s="137"/>
      <c r="Y44" s="135"/>
      <c r="Z44" s="136"/>
      <c r="AA44" s="137"/>
      <c r="AB44" s="135"/>
      <c r="AC44" s="136"/>
      <c r="AD44" s="137"/>
      <c r="AE44" s="135"/>
      <c r="AF44" s="136"/>
      <c r="AG44" s="137"/>
      <c r="AH44" s="135"/>
      <c r="AI44" s="136"/>
      <c r="AJ44" s="137"/>
      <c r="AK44" s="120" t="str">
        <f t="shared" si="2"/>
        <v/>
      </c>
      <c r="AL44" s="121"/>
      <c r="AM44" s="122"/>
    </row>
    <row r="45" spans="1:39" ht="15" customHeight="1" x14ac:dyDescent="0.2">
      <c r="A45" s="16"/>
      <c r="B45" s="165"/>
      <c r="C45" s="48" t="str">
        <f t="shared" si="0"/>
        <v/>
      </c>
      <c r="D45" s="120" t="str">
        <f t="shared" si="3"/>
        <v/>
      </c>
      <c r="E45" s="121"/>
      <c r="F45" s="122"/>
      <c r="G45" s="132" t="str">
        <f t="shared" si="1"/>
        <v/>
      </c>
      <c r="H45" s="133"/>
      <c r="I45" s="134"/>
      <c r="J45" s="135"/>
      <c r="K45" s="136"/>
      <c r="L45" s="137"/>
      <c r="M45" s="135"/>
      <c r="N45" s="136"/>
      <c r="O45" s="137"/>
      <c r="P45" s="135"/>
      <c r="Q45" s="136"/>
      <c r="R45" s="137"/>
      <c r="S45" s="135"/>
      <c r="T45" s="136"/>
      <c r="U45" s="137"/>
      <c r="V45" s="135"/>
      <c r="W45" s="136"/>
      <c r="X45" s="137"/>
      <c r="Y45" s="135"/>
      <c r="Z45" s="136"/>
      <c r="AA45" s="137"/>
      <c r="AB45" s="135"/>
      <c r="AC45" s="136"/>
      <c r="AD45" s="137"/>
      <c r="AE45" s="135"/>
      <c r="AF45" s="136"/>
      <c r="AG45" s="137"/>
      <c r="AH45" s="135"/>
      <c r="AI45" s="136"/>
      <c r="AJ45" s="137"/>
      <c r="AK45" s="120" t="str">
        <f t="shared" si="2"/>
        <v/>
      </c>
      <c r="AL45" s="121"/>
      <c r="AM45" s="122"/>
    </row>
    <row r="46" spans="1:39" ht="15" customHeight="1" x14ac:dyDescent="0.2">
      <c r="A46" s="16"/>
      <c r="B46" s="165"/>
      <c r="C46" s="48" t="str">
        <f t="shared" si="0"/>
        <v/>
      </c>
      <c r="D46" s="120" t="str">
        <f t="shared" si="3"/>
        <v/>
      </c>
      <c r="E46" s="121"/>
      <c r="F46" s="122"/>
      <c r="G46" s="132" t="str">
        <f t="shared" si="1"/>
        <v/>
      </c>
      <c r="H46" s="133"/>
      <c r="I46" s="134"/>
      <c r="J46" s="135"/>
      <c r="K46" s="136"/>
      <c r="L46" s="137"/>
      <c r="M46" s="135"/>
      <c r="N46" s="136"/>
      <c r="O46" s="137"/>
      <c r="P46" s="135"/>
      <c r="Q46" s="136"/>
      <c r="R46" s="137"/>
      <c r="S46" s="135"/>
      <c r="T46" s="136"/>
      <c r="U46" s="137"/>
      <c r="V46" s="135"/>
      <c r="W46" s="136"/>
      <c r="X46" s="137"/>
      <c r="Y46" s="135"/>
      <c r="Z46" s="136"/>
      <c r="AA46" s="137"/>
      <c r="AB46" s="135"/>
      <c r="AC46" s="136"/>
      <c r="AD46" s="137"/>
      <c r="AE46" s="135"/>
      <c r="AF46" s="136"/>
      <c r="AG46" s="137"/>
      <c r="AH46" s="135"/>
      <c r="AI46" s="136"/>
      <c r="AJ46" s="137"/>
      <c r="AK46" s="120" t="str">
        <f t="shared" si="2"/>
        <v/>
      </c>
      <c r="AL46" s="121"/>
      <c r="AM46" s="122"/>
    </row>
    <row r="47" spans="1:39" ht="15" customHeight="1" x14ac:dyDescent="0.2">
      <c r="A47" s="16"/>
      <c r="B47" s="165"/>
      <c r="C47" s="48" t="str">
        <f t="shared" si="0"/>
        <v/>
      </c>
      <c r="D47" s="120" t="str">
        <f t="shared" si="3"/>
        <v/>
      </c>
      <c r="E47" s="121"/>
      <c r="F47" s="122"/>
      <c r="G47" s="132" t="str">
        <f t="shared" si="1"/>
        <v/>
      </c>
      <c r="H47" s="133"/>
      <c r="I47" s="134"/>
      <c r="J47" s="135"/>
      <c r="K47" s="136"/>
      <c r="L47" s="137"/>
      <c r="M47" s="135"/>
      <c r="N47" s="136"/>
      <c r="O47" s="137"/>
      <c r="P47" s="135"/>
      <c r="Q47" s="136"/>
      <c r="R47" s="137"/>
      <c r="S47" s="135"/>
      <c r="T47" s="136"/>
      <c r="U47" s="137"/>
      <c r="V47" s="135"/>
      <c r="W47" s="136"/>
      <c r="X47" s="137"/>
      <c r="Y47" s="135"/>
      <c r="Z47" s="136"/>
      <c r="AA47" s="137"/>
      <c r="AB47" s="135"/>
      <c r="AC47" s="136"/>
      <c r="AD47" s="137"/>
      <c r="AE47" s="135"/>
      <c r="AF47" s="136"/>
      <c r="AG47" s="137"/>
      <c r="AH47" s="135"/>
      <c r="AI47" s="136"/>
      <c r="AJ47" s="137"/>
      <c r="AK47" s="120" t="str">
        <f t="shared" si="2"/>
        <v/>
      </c>
      <c r="AL47" s="121"/>
      <c r="AM47" s="122"/>
    </row>
    <row r="48" spans="1:39" ht="15" customHeight="1" x14ac:dyDescent="0.2">
      <c r="A48" s="16"/>
      <c r="B48" s="165"/>
      <c r="C48" s="48" t="str">
        <f t="shared" si="0"/>
        <v/>
      </c>
      <c r="D48" s="120" t="str">
        <f t="shared" si="3"/>
        <v/>
      </c>
      <c r="E48" s="121"/>
      <c r="F48" s="122"/>
      <c r="G48" s="132" t="str">
        <f t="shared" si="1"/>
        <v/>
      </c>
      <c r="H48" s="133"/>
      <c r="I48" s="134"/>
      <c r="J48" s="135"/>
      <c r="K48" s="136"/>
      <c r="L48" s="137"/>
      <c r="M48" s="135"/>
      <c r="N48" s="136"/>
      <c r="O48" s="137"/>
      <c r="P48" s="135"/>
      <c r="Q48" s="136"/>
      <c r="R48" s="137"/>
      <c r="S48" s="135"/>
      <c r="T48" s="136"/>
      <c r="U48" s="137"/>
      <c r="V48" s="135"/>
      <c r="W48" s="136"/>
      <c r="X48" s="137"/>
      <c r="Y48" s="135"/>
      <c r="Z48" s="136"/>
      <c r="AA48" s="137"/>
      <c r="AB48" s="135"/>
      <c r="AC48" s="136"/>
      <c r="AD48" s="137"/>
      <c r="AE48" s="135"/>
      <c r="AF48" s="136"/>
      <c r="AG48" s="137"/>
      <c r="AH48" s="135"/>
      <c r="AI48" s="136"/>
      <c r="AJ48" s="137"/>
      <c r="AK48" s="120" t="str">
        <f t="shared" si="2"/>
        <v/>
      </c>
      <c r="AL48" s="121"/>
      <c r="AM48" s="122"/>
    </row>
    <row r="49" spans="1:39" ht="15" customHeight="1" x14ac:dyDescent="0.2">
      <c r="A49" s="16"/>
      <c r="B49" s="165"/>
      <c r="C49" s="48" t="str">
        <f t="shared" si="0"/>
        <v/>
      </c>
      <c r="D49" s="120" t="str">
        <f t="shared" si="3"/>
        <v/>
      </c>
      <c r="E49" s="121"/>
      <c r="F49" s="122"/>
      <c r="G49" s="132" t="str">
        <f t="shared" si="1"/>
        <v/>
      </c>
      <c r="H49" s="133"/>
      <c r="I49" s="134"/>
      <c r="J49" s="135"/>
      <c r="K49" s="136"/>
      <c r="L49" s="137"/>
      <c r="M49" s="135"/>
      <c r="N49" s="136"/>
      <c r="O49" s="137"/>
      <c r="P49" s="135"/>
      <c r="Q49" s="136"/>
      <c r="R49" s="137"/>
      <c r="S49" s="135"/>
      <c r="T49" s="136"/>
      <c r="U49" s="137"/>
      <c r="V49" s="135"/>
      <c r="W49" s="136"/>
      <c r="X49" s="137"/>
      <c r="Y49" s="135"/>
      <c r="Z49" s="136"/>
      <c r="AA49" s="137"/>
      <c r="AB49" s="135"/>
      <c r="AC49" s="136"/>
      <c r="AD49" s="137"/>
      <c r="AE49" s="135"/>
      <c r="AF49" s="136"/>
      <c r="AG49" s="137"/>
      <c r="AH49" s="135"/>
      <c r="AI49" s="136"/>
      <c r="AJ49" s="137"/>
      <c r="AK49" s="120" t="str">
        <f t="shared" si="2"/>
        <v/>
      </c>
      <c r="AL49" s="121"/>
      <c r="AM49" s="122"/>
    </row>
    <row r="50" spans="1:39" ht="15" customHeight="1" x14ac:dyDescent="0.2">
      <c r="A50" s="16"/>
      <c r="B50" s="165"/>
      <c r="C50" s="48" t="str">
        <f t="shared" si="0"/>
        <v/>
      </c>
      <c r="D50" s="120" t="str">
        <f t="shared" si="3"/>
        <v/>
      </c>
      <c r="E50" s="121"/>
      <c r="F50" s="122"/>
      <c r="G50" s="132" t="str">
        <f t="shared" si="1"/>
        <v/>
      </c>
      <c r="H50" s="133"/>
      <c r="I50" s="134"/>
      <c r="J50" s="135"/>
      <c r="K50" s="136"/>
      <c r="L50" s="137"/>
      <c r="M50" s="135"/>
      <c r="N50" s="136"/>
      <c r="O50" s="137"/>
      <c r="P50" s="135"/>
      <c r="Q50" s="136"/>
      <c r="R50" s="137"/>
      <c r="S50" s="135"/>
      <c r="T50" s="136"/>
      <c r="U50" s="137"/>
      <c r="V50" s="135"/>
      <c r="W50" s="136"/>
      <c r="X50" s="137"/>
      <c r="Y50" s="135"/>
      <c r="Z50" s="136"/>
      <c r="AA50" s="137"/>
      <c r="AB50" s="135"/>
      <c r="AC50" s="136"/>
      <c r="AD50" s="137"/>
      <c r="AE50" s="135"/>
      <c r="AF50" s="136"/>
      <c r="AG50" s="137"/>
      <c r="AH50" s="135"/>
      <c r="AI50" s="136"/>
      <c r="AJ50" s="137"/>
      <c r="AK50" s="120" t="str">
        <f t="shared" si="2"/>
        <v/>
      </c>
      <c r="AL50" s="121"/>
      <c r="AM50" s="122"/>
    </row>
    <row r="51" spans="1:39" ht="15" customHeight="1" x14ac:dyDescent="0.2">
      <c r="A51" s="16"/>
      <c r="B51" s="165"/>
      <c r="C51" s="48" t="str">
        <f t="shared" si="0"/>
        <v/>
      </c>
      <c r="D51" s="120" t="str">
        <f t="shared" si="3"/>
        <v/>
      </c>
      <c r="E51" s="121"/>
      <c r="F51" s="122"/>
      <c r="G51" s="138">
        <f>G13*2</f>
        <v>3</v>
      </c>
      <c r="H51" s="139"/>
      <c r="I51" s="140"/>
      <c r="J51" s="138">
        <f t="shared" ref="J51" si="4">J13*2</f>
        <v>7.06</v>
      </c>
      <c r="K51" s="139"/>
      <c r="L51" s="140"/>
      <c r="M51" s="138">
        <f t="shared" ref="M51" si="5">M13*2</f>
        <v>11.62</v>
      </c>
      <c r="N51" s="139"/>
      <c r="O51" s="140"/>
      <c r="P51" s="138">
        <f t="shared" ref="P51" si="6">P13*2</f>
        <v>16.54</v>
      </c>
      <c r="Q51" s="139"/>
      <c r="R51" s="140"/>
      <c r="S51" s="138">
        <f t="shared" ref="S51" si="7">S13*2</f>
        <v>20.14</v>
      </c>
      <c r="T51" s="139"/>
      <c r="U51" s="140"/>
      <c r="V51" s="138">
        <f t="shared" ref="V51" si="8">V13*2</f>
        <v>24.98</v>
      </c>
      <c r="W51" s="139"/>
      <c r="X51" s="140"/>
      <c r="Y51" s="138">
        <f t="shared" ref="Y51" si="9">Y13*2</f>
        <v>29.6</v>
      </c>
      <c r="Z51" s="139"/>
      <c r="AA51" s="140"/>
      <c r="AB51" s="138">
        <f t="shared" ref="AB51" si="10">AB13*2</f>
        <v>34.36</v>
      </c>
      <c r="AC51" s="139"/>
      <c r="AD51" s="140"/>
      <c r="AE51" s="138">
        <f t="shared" ref="AE51" si="11">AE13*2</f>
        <v>39</v>
      </c>
      <c r="AF51" s="139"/>
      <c r="AG51" s="140"/>
      <c r="AH51" s="138">
        <f t="shared" ref="AH51" si="12">AH13*2</f>
        <v>0</v>
      </c>
      <c r="AI51" s="139"/>
      <c r="AJ51" s="140"/>
      <c r="AK51" s="120" t="str">
        <f t="shared" si="2"/>
        <v/>
      </c>
      <c r="AL51" s="121"/>
      <c r="AM51" s="122"/>
    </row>
    <row r="52" spans="1:39" ht="15" customHeight="1" x14ac:dyDescent="0.2">
      <c r="A52" s="16"/>
      <c r="B52" s="166"/>
      <c r="C52" s="48" t="str">
        <f t="shared" si="0"/>
        <v/>
      </c>
      <c r="D52" s="120" t="str">
        <f t="shared" si="3"/>
        <v/>
      </c>
      <c r="E52" s="121"/>
      <c r="F52" s="122"/>
      <c r="G52" s="129" t="s">
        <v>36</v>
      </c>
      <c r="H52" s="130"/>
      <c r="I52" s="130"/>
      <c r="J52" s="130"/>
      <c r="K52" s="130"/>
      <c r="L52" s="130"/>
      <c r="M52" s="130"/>
      <c r="N52" s="130"/>
      <c r="O52" s="130"/>
      <c r="P52" s="130"/>
      <c r="Q52" s="130"/>
      <c r="R52" s="130"/>
      <c r="S52" s="130"/>
      <c r="T52" s="130"/>
      <c r="U52" s="130"/>
      <c r="V52" s="130"/>
      <c r="W52" s="130"/>
      <c r="X52" s="130"/>
      <c r="Y52" s="130"/>
      <c r="Z52" s="130"/>
      <c r="AA52" s="130"/>
      <c r="AB52" s="130"/>
      <c r="AC52" s="130"/>
      <c r="AD52" s="130"/>
      <c r="AE52" s="130"/>
      <c r="AF52" s="130"/>
      <c r="AG52" s="130"/>
      <c r="AH52" s="130"/>
      <c r="AI52" s="130"/>
      <c r="AJ52" s="131"/>
      <c r="AK52" s="120" t="str">
        <f t="shared" si="2"/>
        <v/>
      </c>
      <c r="AL52" s="121"/>
      <c r="AM52" s="122"/>
    </row>
    <row r="53" spans="1:39" ht="15" customHeight="1" x14ac:dyDescent="0.2">
      <c r="A53" s="23"/>
      <c r="B53" s="52"/>
      <c r="C53" s="52"/>
      <c r="D53" s="47"/>
      <c r="E53" s="47"/>
      <c r="F53" s="47"/>
      <c r="G53" s="64">
        <v>7</v>
      </c>
      <c r="H53" s="64">
        <v>8</v>
      </c>
      <c r="I53" s="64">
        <v>9</v>
      </c>
      <c r="J53" s="64">
        <v>10</v>
      </c>
      <c r="K53" s="64">
        <v>11</v>
      </c>
      <c r="L53" s="64">
        <v>12</v>
      </c>
      <c r="M53" s="64">
        <v>13</v>
      </c>
      <c r="N53" s="64">
        <v>14</v>
      </c>
      <c r="O53" s="64">
        <v>15</v>
      </c>
      <c r="P53" s="64">
        <v>16</v>
      </c>
      <c r="Q53" s="64">
        <v>17</v>
      </c>
      <c r="R53" s="64">
        <v>18</v>
      </c>
      <c r="S53" s="64">
        <v>19</v>
      </c>
      <c r="T53" s="64">
        <v>20</v>
      </c>
      <c r="U53" s="64">
        <v>21</v>
      </c>
      <c r="V53" s="64">
        <v>22</v>
      </c>
      <c r="W53" s="64">
        <v>23</v>
      </c>
      <c r="X53" s="64">
        <v>24</v>
      </c>
      <c r="Y53" s="64">
        <v>25</v>
      </c>
      <c r="Z53" s="64">
        <v>26</v>
      </c>
      <c r="AA53" s="64">
        <v>27</v>
      </c>
      <c r="AB53" s="64">
        <v>28</v>
      </c>
      <c r="AC53" s="64">
        <v>29</v>
      </c>
      <c r="AD53" s="64">
        <v>30</v>
      </c>
      <c r="AE53" s="64">
        <v>31</v>
      </c>
      <c r="AF53" s="64">
        <v>32</v>
      </c>
      <c r="AG53" s="64">
        <v>33</v>
      </c>
      <c r="AH53" s="64">
        <v>34</v>
      </c>
      <c r="AI53" s="64">
        <v>35</v>
      </c>
      <c r="AJ53" s="64">
        <v>36</v>
      </c>
      <c r="AK53" s="132">
        <f>MAX(J13:AJ52)</f>
        <v>161</v>
      </c>
      <c r="AL53" s="133"/>
      <c r="AM53" s="134"/>
    </row>
    <row r="54" spans="1:39" ht="12.75" x14ac:dyDescent="0.2">
      <c r="AH54" s="132">
        <f>MIN(J13:AJ52)</f>
        <v>-145</v>
      </c>
      <c r="AI54" s="133"/>
      <c r="AJ54" s="134"/>
      <c r="AK54" s="132">
        <f>MAX(ABS(AH54),ABS(AK53))</f>
        <v>161</v>
      </c>
      <c r="AL54" s="133"/>
      <c r="AM54" s="134"/>
    </row>
  </sheetData>
  <sheetProtection algorithmName="SHA-512" hashValue="DuhJmr08flO5NxKdJE6SpH0UvotBsVtmVUz/Adfc3D8Et7JHGldO1PjZ2sx93wJsvArCy13RZuyaaRx3rj7KDA==" saltValue="9WfTo+9F3Wcbiwmfv7qAKQ==" spinCount="100000" sheet="1" objects="1" scenarios="1"/>
  <mergeCells count="502">
    <mergeCell ref="Y51:AA51"/>
    <mergeCell ref="AB51:AD51"/>
    <mergeCell ref="AE51:AG51"/>
    <mergeCell ref="AH49:AJ49"/>
    <mergeCell ref="J50:L50"/>
    <mergeCell ref="M50:O50"/>
    <mergeCell ref="P50:R50"/>
    <mergeCell ref="S50:U50"/>
    <mergeCell ref="G12:AJ12"/>
    <mergeCell ref="Y50:AA50"/>
    <mergeCell ref="AB50:AD50"/>
    <mergeCell ref="AE50:AG50"/>
    <mergeCell ref="AH50:AJ50"/>
    <mergeCell ref="P47:R47"/>
    <mergeCell ref="S47:U47"/>
    <mergeCell ref="V47:X47"/>
    <mergeCell ref="Y47:AA47"/>
    <mergeCell ref="AB47:AD47"/>
    <mergeCell ref="AE47:AG47"/>
    <mergeCell ref="V49:X49"/>
    <mergeCell ref="Y49:AA49"/>
    <mergeCell ref="AB49:AD49"/>
    <mergeCell ref="AE49:AG49"/>
    <mergeCell ref="Y44:AA44"/>
    <mergeCell ref="AB44:AD44"/>
    <mergeCell ref="AE44:AG44"/>
    <mergeCell ref="AH44:AJ44"/>
    <mergeCell ref="Y48:AA48"/>
    <mergeCell ref="AB48:AD48"/>
    <mergeCell ref="AE48:AG48"/>
    <mergeCell ref="AH48:AJ48"/>
    <mergeCell ref="G49:I49"/>
    <mergeCell ref="V45:X45"/>
    <mergeCell ref="Y45:AA45"/>
    <mergeCell ref="AB45:AD45"/>
    <mergeCell ref="AE45:AG45"/>
    <mergeCell ref="Y46:AA46"/>
    <mergeCell ref="AB46:AD46"/>
    <mergeCell ref="AE46:AG46"/>
    <mergeCell ref="AH46:AJ46"/>
    <mergeCell ref="AH47:AJ47"/>
    <mergeCell ref="Y42:AA42"/>
    <mergeCell ref="AB42:AD42"/>
    <mergeCell ref="AE42:AG42"/>
    <mergeCell ref="AH42:AJ42"/>
    <mergeCell ref="G43:I43"/>
    <mergeCell ref="J43:L43"/>
    <mergeCell ref="M43:O43"/>
    <mergeCell ref="P43:R43"/>
    <mergeCell ref="S43:U43"/>
    <mergeCell ref="V43:X43"/>
    <mergeCell ref="Y43:AA43"/>
    <mergeCell ref="AB43:AD43"/>
    <mergeCell ref="AE43:AG43"/>
    <mergeCell ref="AH43:AJ43"/>
    <mergeCell ref="Y40:AA40"/>
    <mergeCell ref="AB40:AD40"/>
    <mergeCell ref="AE40:AG40"/>
    <mergeCell ref="AH40:AJ40"/>
    <mergeCell ref="G41:I41"/>
    <mergeCell ref="J41:L41"/>
    <mergeCell ref="M41:O41"/>
    <mergeCell ref="P41:R41"/>
    <mergeCell ref="S41:U41"/>
    <mergeCell ref="V41:X41"/>
    <mergeCell ref="Y41:AA41"/>
    <mergeCell ref="AB41:AD41"/>
    <mergeCell ref="AE41:AG41"/>
    <mergeCell ref="AH41:AJ41"/>
    <mergeCell ref="J39:L39"/>
    <mergeCell ref="M39:O39"/>
    <mergeCell ref="P39:R39"/>
    <mergeCell ref="S39:U39"/>
    <mergeCell ref="V39:X39"/>
    <mergeCell ref="Y39:AA39"/>
    <mergeCell ref="AB39:AD39"/>
    <mergeCell ref="AE39:AG39"/>
    <mergeCell ref="AH39:AJ39"/>
    <mergeCell ref="J36:L36"/>
    <mergeCell ref="M36:O36"/>
    <mergeCell ref="P36:R36"/>
    <mergeCell ref="S36:U36"/>
    <mergeCell ref="V36:X36"/>
    <mergeCell ref="Y36:AA36"/>
    <mergeCell ref="AB36:AD36"/>
    <mergeCell ref="AE36:AG36"/>
    <mergeCell ref="AH36:AJ36"/>
    <mergeCell ref="Y28:AA28"/>
    <mergeCell ref="AB28:AD28"/>
    <mergeCell ref="AE28:AG28"/>
    <mergeCell ref="AH28:AJ28"/>
    <mergeCell ref="G29:I29"/>
    <mergeCell ref="J29:L29"/>
    <mergeCell ref="M29:O29"/>
    <mergeCell ref="P29:R29"/>
    <mergeCell ref="S29:U29"/>
    <mergeCell ref="V29:X29"/>
    <mergeCell ref="Y29:AA29"/>
    <mergeCell ref="AB29:AD29"/>
    <mergeCell ref="AE29:AG29"/>
    <mergeCell ref="AH29:AJ29"/>
    <mergeCell ref="Y26:AA26"/>
    <mergeCell ref="AB26:AD26"/>
    <mergeCell ref="AE26:AG26"/>
    <mergeCell ref="AH26:AJ26"/>
    <mergeCell ref="G27:I27"/>
    <mergeCell ref="J27:L27"/>
    <mergeCell ref="M27:O27"/>
    <mergeCell ref="P27:R27"/>
    <mergeCell ref="S27:U27"/>
    <mergeCell ref="V27:X27"/>
    <mergeCell ref="Y27:AA27"/>
    <mergeCell ref="AB27:AD27"/>
    <mergeCell ref="AE27:AG27"/>
    <mergeCell ref="AH27:AJ27"/>
    <mergeCell ref="AE17:AG17"/>
    <mergeCell ref="AH17:AJ17"/>
    <mergeCell ref="G16:I16"/>
    <mergeCell ref="J16:L16"/>
    <mergeCell ref="M16:O16"/>
    <mergeCell ref="P16:R16"/>
    <mergeCell ref="S16:U16"/>
    <mergeCell ref="V16:X16"/>
    <mergeCell ref="Y16:AA16"/>
    <mergeCell ref="AB16:AD16"/>
    <mergeCell ref="AE16:AG16"/>
    <mergeCell ref="AE14:AG14"/>
    <mergeCell ref="AH14:AJ14"/>
    <mergeCell ref="G15:I15"/>
    <mergeCell ref="J15:L15"/>
    <mergeCell ref="M15:O15"/>
    <mergeCell ref="P15:R15"/>
    <mergeCell ref="S15:U15"/>
    <mergeCell ref="V15:X15"/>
    <mergeCell ref="Y15:AA15"/>
    <mergeCell ref="AB15:AD15"/>
    <mergeCell ref="AE15:AG15"/>
    <mergeCell ref="AH15:AJ15"/>
    <mergeCell ref="S13:U13"/>
    <mergeCell ref="V13:X13"/>
    <mergeCell ref="Y13:AA13"/>
    <mergeCell ref="AB13:AD13"/>
    <mergeCell ref="D16:F16"/>
    <mergeCell ref="D15:F15"/>
    <mergeCell ref="Y14:AA14"/>
    <mergeCell ref="AB14:AD14"/>
    <mergeCell ref="D17:F17"/>
    <mergeCell ref="G17:I17"/>
    <mergeCell ref="J17:L17"/>
    <mergeCell ref="M17:O17"/>
    <mergeCell ref="P17:R17"/>
    <mergeCell ref="S17:U17"/>
    <mergeCell ref="V17:X17"/>
    <mergeCell ref="Y17:AA17"/>
    <mergeCell ref="AB17:AD17"/>
    <mergeCell ref="AE13:AG13"/>
    <mergeCell ref="AH13:AJ13"/>
    <mergeCell ref="G14:I14"/>
    <mergeCell ref="J14:L14"/>
    <mergeCell ref="Y9:AC9"/>
    <mergeCell ref="T4:AA4"/>
    <mergeCell ref="D14:F14"/>
    <mergeCell ref="G4:S4"/>
    <mergeCell ref="AB4:AE4"/>
    <mergeCell ref="AF4:AJ4"/>
    <mergeCell ref="B4:E4"/>
    <mergeCell ref="Y6:AC6"/>
    <mergeCell ref="Y7:AC7"/>
    <mergeCell ref="M14:O14"/>
    <mergeCell ref="P14:R14"/>
    <mergeCell ref="S14:U14"/>
    <mergeCell ref="V14:X14"/>
    <mergeCell ref="Y8:AC8"/>
    <mergeCell ref="B14:B52"/>
    <mergeCell ref="D13:F13"/>
    <mergeCell ref="G13:I13"/>
    <mergeCell ref="J13:L13"/>
    <mergeCell ref="M13:O13"/>
    <mergeCell ref="P13:R13"/>
    <mergeCell ref="B1:E1"/>
    <mergeCell ref="G1:S1"/>
    <mergeCell ref="T1:V1"/>
    <mergeCell ref="AB1:AJ1"/>
    <mergeCell ref="AF2:AJ2"/>
    <mergeCell ref="B3:E3"/>
    <mergeCell ref="G3:S3"/>
    <mergeCell ref="T3:V3"/>
    <mergeCell ref="AB3:AE3"/>
    <mergeCell ref="AF3:AJ3"/>
    <mergeCell ref="B2:E2"/>
    <mergeCell ref="G2:S2"/>
    <mergeCell ref="T2:V2"/>
    <mergeCell ref="AB2:AE2"/>
    <mergeCell ref="X1:AA1"/>
    <mergeCell ref="X2:AA2"/>
    <mergeCell ref="X3:AA3"/>
    <mergeCell ref="D20:F20"/>
    <mergeCell ref="AE18:AG18"/>
    <mergeCell ref="AH18:AJ18"/>
    <mergeCell ref="D19:F19"/>
    <mergeCell ref="G19:I19"/>
    <mergeCell ref="J19:L19"/>
    <mergeCell ref="M19:O19"/>
    <mergeCell ref="P19:R19"/>
    <mergeCell ref="S19:U19"/>
    <mergeCell ref="V19:X19"/>
    <mergeCell ref="Y19:AA19"/>
    <mergeCell ref="AB19:AD19"/>
    <mergeCell ref="AE19:AG19"/>
    <mergeCell ref="AH19:AJ19"/>
    <mergeCell ref="AB18:AD18"/>
    <mergeCell ref="D18:F18"/>
    <mergeCell ref="G18:I18"/>
    <mergeCell ref="J18:L18"/>
    <mergeCell ref="M18:O18"/>
    <mergeCell ref="P18:R18"/>
    <mergeCell ref="S18:U18"/>
    <mergeCell ref="V18:X18"/>
    <mergeCell ref="Y18:AA18"/>
    <mergeCell ref="AE21:AG21"/>
    <mergeCell ref="AH21:AJ21"/>
    <mergeCell ref="G20:I20"/>
    <mergeCell ref="J20:L20"/>
    <mergeCell ref="M20:O20"/>
    <mergeCell ref="P20:R20"/>
    <mergeCell ref="S20:U20"/>
    <mergeCell ref="V20:X20"/>
    <mergeCell ref="Y20:AA20"/>
    <mergeCell ref="AB20:AD20"/>
    <mergeCell ref="AE20:AG20"/>
    <mergeCell ref="D21:F21"/>
    <mergeCell ref="G21:I21"/>
    <mergeCell ref="J21:L21"/>
    <mergeCell ref="M21:O21"/>
    <mergeCell ref="P21:R21"/>
    <mergeCell ref="S21:U21"/>
    <mergeCell ref="V21:X21"/>
    <mergeCell ref="Y21:AA21"/>
    <mergeCell ref="AB21:AD21"/>
    <mergeCell ref="AE22:AG22"/>
    <mergeCell ref="AH22:AJ22"/>
    <mergeCell ref="D23:F23"/>
    <mergeCell ref="G23:I23"/>
    <mergeCell ref="J23:L23"/>
    <mergeCell ref="M23:O23"/>
    <mergeCell ref="P23:R23"/>
    <mergeCell ref="S23:U23"/>
    <mergeCell ref="V23:X23"/>
    <mergeCell ref="Y23:AA23"/>
    <mergeCell ref="AB23:AD23"/>
    <mergeCell ref="AE23:AG23"/>
    <mergeCell ref="AH23:AJ23"/>
    <mergeCell ref="D22:F22"/>
    <mergeCell ref="G22:I22"/>
    <mergeCell ref="J22:L22"/>
    <mergeCell ref="M22:O22"/>
    <mergeCell ref="P22:R22"/>
    <mergeCell ref="S22:U22"/>
    <mergeCell ref="V22:X22"/>
    <mergeCell ref="Y22:AA22"/>
    <mergeCell ref="AB22:AD22"/>
    <mergeCell ref="AE24:AG24"/>
    <mergeCell ref="AH24:AJ24"/>
    <mergeCell ref="D25:F25"/>
    <mergeCell ref="G25:I25"/>
    <mergeCell ref="J25:L25"/>
    <mergeCell ref="M25:O25"/>
    <mergeCell ref="P25:R25"/>
    <mergeCell ref="S25:U25"/>
    <mergeCell ref="V25:X25"/>
    <mergeCell ref="Y25:AA25"/>
    <mergeCell ref="AB25:AD25"/>
    <mergeCell ref="AE25:AG25"/>
    <mergeCell ref="AH25:AJ25"/>
    <mergeCell ref="D24:F24"/>
    <mergeCell ref="G24:I24"/>
    <mergeCell ref="J24:L24"/>
    <mergeCell ref="M24:O24"/>
    <mergeCell ref="P24:R24"/>
    <mergeCell ref="S24:U24"/>
    <mergeCell ref="V24:X24"/>
    <mergeCell ref="Y24:AA24"/>
    <mergeCell ref="AB24:AD24"/>
    <mergeCell ref="D27:F27"/>
    <mergeCell ref="D26:F26"/>
    <mergeCell ref="G26:I26"/>
    <mergeCell ref="J26:L26"/>
    <mergeCell ref="M26:O26"/>
    <mergeCell ref="P26:R26"/>
    <mergeCell ref="S26:U26"/>
    <mergeCell ref="V26:X26"/>
    <mergeCell ref="D29:F29"/>
    <mergeCell ref="D28:F28"/>
    <mergeCell ref="G28:I28"/>
    <mergeCell ref="J28:L28"/>
    <mergeCell ref="M28:O28"/>
    <mergeCell ref="P28:R28"/>
    <mergeCell ref="S28:U28"/>
    <mergeCell ref="V28:X28"/>
    <mergeCell ref="AE30:AG30"/>
    <mergeCell ref="AH30:AJ30"/>
    <mergeCell ref="D31:F31"/>
    <mergeCell ref="G31:I31"/>
    <mergeCell ref="J31:L31"/>
    <mergeCell ref="M31:O31"/>
    <mergeCell ref="P31:R31"/>
    <mergeCell ref="S31:U31"/>
    <mergeCell ref="V31:X31"/>
    <mergeCell ref="Y31:AA31"/>
    <mergeCell ref="AB31:AD31"/>
    <mergeCell ref="AE31:AG31"/>
    <mergeCell ref="AH31:AJ31"/>
    <mergeCell ref="D30:F30"/>
    <mergeCell ref="G30:I30"/>
    <mergeCell ref="J30:L30"/>
    <mergeCell ref="M30:O30"/>
    <mergeCell ref="P30:R30"/>
    <mergeCell ref="S30:U30"/>
    <mergeCell ref="V30:X30"/>
    <mergeCell ref="Y30:AA30"/>
    <mergeCell ref="AB30:AD30"/>
    <mergeCell ref="AE32:AG32"/>
    <mergeCell ref="AH32:AJ32"/>
    <mergeCell ref="D33:F33"/>
    <mergeCell ref="G33:I33"/>
    <mergeCell ref="J33:L33"/>
    <mergeCell ref="M33:O33"/>
    <mergeCell ref="P33:R33"/>
    <mergeCell ref="S33:U33"/>
    <mergeCell ref="V33:X33"/>
    <mergeCell ref="Y33:AA33"/>
    <mergeCell ref="AB33:AD33"/>
    <mergeCell ref="AE33:AG33"/>
    <mergeCell ref="AH33:AJ33"/>
    <mergeCell ref="D32:F32"/>
    <mergeCell ref="G32:I32"/>
    <mergeCell ref="J32:L32"/>
    <mergeCell ref="M32:O32"/>
    <mergeCell ref="P32:R32"/>
    <mergeCell ref="S32:U32"/>
    <mergeCell ref="V32:X32"/>
    <mergeCell ref="Y32:AA32"/>
    <mergeCell ref="AB32:AD32"/>
    <mergeCell ref="AE34:AG34"/>
    <mergeCell ref="AH34:AJ34"/>
    <mergeCell ref="D36:F36"/>
    <mergeCell ref="D35:F35"/>
    <mergeCell ref="G35:I35"/>
    <mergeCell ref="J35:L35"/>
    <mergeCell ref="M35:O35"/>
    <mergeCell ref="P35:R35"/>
    <mergeCell ref="S35:U35"/>
    <mergeCell ref="V35:X35"/>
    <mergeCell ref="D34:F34"/>
    <mergeCell ref="G34:I34"/>
    <mergeCell ref="J34:L34"/>
    <mergeCell ref="M34:O34"/>
    <mergeCell ref="P34:R34"/>
    <mergeCell ref="S34:U34"/>
    <mergeCell ref="V34:X34"/>
    <mergeCell ref="Y34:AA34"/>
    <mergeCell ref="AB34:AD34"/>
    <mergeCell ref="Y35:AA35"/>
    <mergeCell ref="AB35:AD35"/>
    <mergeCell ref="AE35:AG35"/>
    <mergeCell ref="AH35:AJ35"/>
    <mergeCell ref="G36:I36"/>
    <mergeCell ref="AE37:AG37"/>
    <mergeCell ref="AH37:AJ37"/>
    <mergeCell ref="D39:F39"/>
    <mergeCell ref="D38:F38"/>
    <mergeCell ref="G38:I38"/>
    <mergeCell ref="J38:L38"/>
    <mergeCell ref="M38:O38"/>
    <mergeCell ref="P38:R38"/>
    <mergeCell ref="S38:U38"/>
    <mergeCell ref="V38:X38"/>
    <mergeCell ref="D37:F37"/>
    <mergeCell ref="G37:I37"/>
    <mergeCell ref="J37:L37"/>
    <mergeCell ref="M37:O37"/>
    <mergeCell ref="P37:R37"/>
    <mergeCell ref="S37:U37"/>
    <mergeCell ref="V37:X37"/>
    <mergeCell ref="Y37:AA37"/>
    <mergeCell ref="AB37:AD37"/>
    <mergeCell ref="Y38:AA38"/>
    <mergeCell ref="AB38:AD38"/>
    <mergeCell ref="AE38:AG38"/>
    <mergeCell ref="AH38:AJ38"/>
    <mergeCell ref="G39:I39"/>
    <mergeCell ref="D41:F41"/>
    <mergeCell ref="D40:F40"/>
    <mergeCell ref="G40:I40"/>
    <mergeCell ref="J40:L40"/>
    <mergeCell ref="M40:O40"/>
    <mergeCell ref="P40:R40"/>
    <mergeCell ref="S40:U40"/>
    <mergeCell ref="V40:X40"/>
    <mergeCell ref="D43:F43"/>
    <mergeCell ref="D42:F42"/>
    <mergeCell ref="G42:I42"/>
    <mergeCell ref="J42:L42"/>
    <mergeCell ref="M42:O42"/>
    <mergeCell ref="P42:R42"/>
    <mergeCell ref="S42:U42"/>
    <mergeCell ref="V42:X42"/>
    <mergeCell ref="D45:F45"/>
    <mergeCell ref="D44:F44"/>
    <mergeCell ref="G44:I44"/>
    <mergeCell ref="J44:L44"/>
    <mergeCell ref="M44:O44"/>
    <mergeCell ref="P44:R44"/>
    <mergeCell ref="S44:U44"/>
    <mergeCell ref="V44:X44"/>
    <mergeCell ref="D47:F47"/>
    <mergeCell ref="D46:F46"/>
    <mergeCell ref="G46:I46"/>
    <mergeCell ref="J46:L46"/>
    <mergeCell ref="M46:O46"/>
    <mergeCell ref="P46:R46"/>
    <mergeCell ref="S46:U46"/>
    <mergeCell ref="V46:X46"/>
    <mergeCell ref="G47:I47"/>
    <mergeCell ref="J47:L47"/>
    <mergeCell ref="M47:O47"/>
    <mergeCell ref="G45:I45"/>
    <mergeCell ref="J45:L45"/>
    <mergeCell ref="M45:O45"/>
    <mergeCell ref="P45:R45"/>
    <mergeCell ref="S45:U45"/>
    <mergeCell ref="D52:F52"/>
    <mergeCell ref="D49:F49"/>
    <mergeCell ref="D48:F48"/>
    <mergeCell ref="G48:I48"/>
    <mergeCell ref="J48:L48"/>
    <mergeCell ref="M48:O48"/>
    <mergeCell ref="P48:R48"/>
    <mergeCell ref="S48:U48"/>
    <mergeCell ref="V48:X48"/>
    <mergeCell ref="D51:F51"/>
    <mergeCell ref="D50:F50"/>
    <mergeCell ref="G50:I50"/>
    <mergeCell ref="V50:X50"/>
    <mergeCell ref="J49:L49"/>
    <mergeCell ref="M49:O49"/>
    <mergeCell ref="P49:R49"/>
    <mergeCell ref="S49:U49"/>
    <mergeCell ref="G51:I51"/>
    <mergeCell ref="J51:L51"/>
    <mergeCell ref="M51:O51"/>
    <mergeCell ref="P51:R51"/>
    <mergeCell ref="S51:U51"/>
    <mergeCell ref="V51:X51"/>
    <mergeCell ref="AK14:AM14"/>
    <mergeCell ref="AK15:AM15"/>
    <mergeCell ref="AK16:AM16"/>
    <mergeCell ref="AK17:AM17"/>
    <mergeCell ref="AK18:AM18"/>
    <mergeCell ref="AK19:AM19"/>
    <mergeCell ref="AK20:AM20"/>
    <mergeCell ref="AK53:AM53"/>
    <mergeCell ref="AH54:AJ54"/>
    <mergeCell ref="AK54:AM54"/>
    <mergeCell ref="AH20:AJ20"/>
    <mergeCell ref="AH16:AJ16"/>
    <mergeCell ref="AH45:AJ45"/>
    <mergeCell ref="AH51:AJ51"/>
    <mergeCell ref="AK38:AM38"/>
    <mergeCell ref="AK21:AM21"/>
    <mergeCell ref="AK22:AM22"/>
    <mergeCell ref="AK23:AM23"/>
    <mergeCell ref="AK24:AM24"/>
    <mergeCell ref="AK25:AM25"/>
    <mergeCell ref="AK26:AM26"/>
    <mergeCell ref="AK27:AM27"/>
    <mergeCell ref="AK28:AM28"/>
    <mergeCell ref="AK29:AM29"/>
    <mergeCell ref="AK48:AM48"/>
    <mergeCell ref="AK49:AM49"/>
    <mergeCell ref="AK50:AM50"/>
    <mergeCell ref="AK51:AM51"/>
    <mergeCell ref="AK52:AM52"/>
    <mergeCell ref="AK12:AM13"/>
    <mergeCell ref="G52:AJ52"/>
    <mergeCell ref="AK39:AM39"/>
    <mergeCell ref="AK40:AM40"/>
    <mergeCell ref="AK41:AM41"/>
    <mergeCell ref="AK42:AM42"/>
    <mergeCell ref="AK43:AM43"/>
    <mergeCell ref="AK44:AM44"/>
    <mergeCell ref="AK45:AM45"/>
    <mergeCell ref="AK46:AM46"/>
    <mergeCell ref="AK47:AM47"/>
    <mergeCell ref="AK30:AM30"/>
    <mergeCell ref="AK31:AM31"/>
    <mergeCell ref="AK32:AM32"/>
    <mergeCell ref="AK33:AM33"/>
    <mergeCell ref="AK34:AM34"/>
    <mergeCell ref="AK35:AM35"/>
    <mergeCell ref="AK36:AM36"/>
    <mergeCell ref="AK37:AM37"/>
  </mergeCells>
  <conditionalFormatting sqref="J14:AJ50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rintOptions horizontalCentered="1"/>
  <pageMargins left="0.15748031496062992" right="0.15748031496062992" top="0.35433070866141736" bottom="0.35433070866141736" header="0.15748031496062992" footer="0.15748031496062992"/>
  <pageSetup paperSize="9" fitToHeight="0" orientation="portrait" useFirstPageNumber="1" horizont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Version History</vt:lpstr>
      <vt:lpstr>Readings</vt:lpstr>
      <vt:lpstr>AlphaFirst</vt:lpstr>
      <vt:lpstr>Nrb</vt:lpstr>
      <vt:lpstr>Readings!Print_Area</vt:lpstr>
      <vt:lpstr>'Version History'!Print_Area</vt:lpstr>
      <vt:lpstr>RDroopZero</vt:lpstr>
      <vt:lpstr>RngCircumferential</vt:lpstr>
      <vt:lpstr>RngRadial</vt:lpstr>
      <vt:lpstr>Theta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Elevated Terrains Consulting Engineers Pvt. Ltd</dc:creator>
  <cp:lastModifiedBy>MASANAM Srinivasarao</cp:lastModifiedBy>
  <cp:lastPrinted>2025-04-01T05:41:28Z</cp:lastPrinted>
  <dcterms:created xsi:type="dcterms:W3CDTF">2012-12-19T09:32:54Z</dcterms:created>
  <dcterms:modified xsi:type="dcterms:W3CDTF">2025-04-01T08:16:24Z</dcterms:modified>
</cp:coreProperties>
</file>